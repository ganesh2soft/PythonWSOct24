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13_ncr:1_{0608C49F-ED37-4B85-B7E8-5B1F9665B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fty15m" sheetId="1" r:id="rId1"/>
    <sheet name="Monthly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2038" i="1" l="1"/>
  <c r="F2038" i="1"/>
  <c r="H2037" i="1"/>
  <c r="F2037" i="1"/>
  <c r="H2036" i="1"/>
  <c r="F2036" i="1"/>
  <c r="H2035" i="1"/>
  <c r="F2035" i="1"/>
  <c r="H2034" i="1"/>
  <c r="F2034" i="1"/>
  <c r="H2033" i="1"/>
  <c r="F2033" i="1"/>
  <c r="H2032" i="1"/>
  <c r="F2032" i="1"/>
  <c r="H2031" i="1"/>
  <c r="F2031" i="1"/>
  <c r="H2030" i="1"/>
  <c r="F2030" i="1"/>
  <c r="H2029" i="1"/>
  <c r="F2029" i="1"/>
  <c r="H2028" i="1"/>
  <c r="F2028" i="1"/>
  <c r="H2027" i="1"/>
  <c r="F2027" i="1"/>
  <c r="H2026" i="1"/>
  <c r="F2026" i="1"/>
  <c r="H2025" i="1"/>
  <c r="F2025" i="1"/>
  <c r="H2024" i="1"/>
  <c r="F2024" i="1"/>
  <c r="H2023" i="1"/>
  <c r="F2023" i="1"/>
  <c r="H2022" i="1"/>
  <c r="F2022" i="1"/>
  <c r="H2021" i="1"/>
  <c r="F2021" i="1"/>
  <c r="H2020" i="1"/>
  <c r="F2020" i="1"/>
  <c r="H2019" i="1"/>
  <c r="F2019" i="1"/>
  <c r="H2018" i="1"/>
  <c r="F2018" i="1"/>
  <c r="H2017" i="1"/>
  <c r="F2017" i="1"/>
  <c r="H2016" i="1"/>
  <c r="F2016" i="1"/>
  <c r="H2015" i="1"/>
  <c r="F2015" i="1"/>
  <c r="H2014" i="1"/>
  <c r="F2014" i="1"/>
  <c r="H2013" i="1"/>
  <c r="F2013" i="1"/>
  <c r="H2012" i="1"/>
  <c r="F2012" i="1"/>
  <c r="H2011" i="1"/>
  <c r="F2011" i="1"/>
  <c r="H2010" i="1"/>
  <c r="F2010" i="1"/>
  <c r="H2009" i="1"/>
  <c r="F2009" i="1"/>
  <c r="H2008" i="1"/>
  <c r="F2008" i="1"/>
  <c r="H2007" i="1"/>
  <c r="F2007" i="1"/>
  <c r="H2006" i="1"/>
  <c r="F2006" i="1"/>
  <c r="H2005" i="1"/>
  <c r="F2005" i="1"/>
  <c r="H2004" i="1"/>
  <c r="F2004" i="1"/>
  <c r="H2003" i="1"/>
  <c r="F2003" i="1"/>
  <c r="H2002" i="1"/>
  <c r="F2002" i="1"/>
  <c r="H2001" i="1"/>
  <c r="F2001" i="1"/>
  <c r="H2000" i="1"/>
  <c r="F2000" i="1"/>
  <c r="H1999" i="1"/>
  <c r="F1999" i="1"/>
  <c r="H1998" i="1"/>
  <c r="F1998" i="1"/>
  <c r="H1997" i="1"/>
  <c r="F1997" i="1"/>
  <c r="H1996" i="1"/>
  <c r="F1996" i="1"/>
  <c r="H1995" i="1"/>
  <c r="F1995" i="1"/>
  <c r="H1994" i="1"/>
  <c r="F1994" i="1"/>
  <c r="H1993" i="1"/>
  <c r="F1993" i="1"/>
  <c r="H1992" i="1"/>
  <c r="F1992" i="1"/>
  <c r="H1991" i="1"/>
  <c r="F1991" i="1"/>
  <c r="H1990" i="1"/>
  <c r="F1990" i="1"/>
  <c r="H1989" i="1"/>
  <c r="F1989" i="1"/>
  <c r="H1988" i="1"/>
  <c r="F1988" i="1"/>
  <c r="H1987" i="1"/>
  <c r="F1987" i="1"/>
  <c r="H1986" i="1"/>
  <c r="F1986" i="1"/>
  <c r="H1985" i="1"/>
  <c r="F1985" i="1"/>
  <c r="H1984" i="1"/>
  <c r="F1984" i="1"/>
  <c r="H1983" i="1"/>
  <c r="F1983" i="1"/>
  <c r="H1982" i="1"/>
  <c r="F1982" i="1"/>
  <c r="H1981" i="1"/>
  <c r="F1981" i="1"/>
  <c r="H1980" i="1"/>
  <c r="F1980" i="1"/>
  <c r="H1979" i="1"/>
  <c r="F1979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F1972" i="1"/>
  <c r="H1971" i="1"/>
  <c r="F1971" i="1"/>
  <c r="H1970" i="1"/>
  <c r="F1970" i="1"/>
  <c r="H1969" i="1"/>
  <c r="F1969" i="1"/>
  <c r="H1968" i="1"/>
  <c r="F1968" i="1"/>
  <c r="H1967" i="1"/>
  <c r="F1967" i="1"/>
  <c r="H1966" i="1"/>
  <c r="F1966" i="1"/>
  <c r="H1965" i="1"/>
  <c r="F1965" i="1"/>
  <c r="H1964" i="1"/>
  <c r="F1964" i="1"/>
  <c r="H1963" i="1"/>
  <c r="F1963" i="1"/>
  <c r="H1962" i="1"/>
  <c r="F1962" i="1"/>
  <c r="H1961" i="1"/>
  <c r="F1961" i="1"/>
  <c r="H1960" i="1"/>
  <c r="F1960" i="1"/>
  <c r="H1959" i="1"/>
  <c r="F1959" i="1"/>
  <c r="H1958" i="1"/>
  <c r="F1958" i="1"/>
  <c r="H1957" i="1"/>
  <c r="F1957" i="1"/>
  <c r="H1956" i="1"/>
  <c r="F1956" i="1"/>
  <c r="H1955" i="1"/>
  <c r="F1955" i="1"/>
  <c r="H1954" i="1"/>
  <c r="F1954" i="1"/>
  <c r="H1953" i="1"/>
  <c r="F1953" i="1"/>
  <c r="H1952" i="1"/>
  <c r="F1952" i="1"/>
  <c r="H1951" i="1"/>
  <c r="F1951" i="1"/>
  <c r="H1950" i="1"/>
  <c r="F1950" i="1"/>
  <c r="H1949" i="1"/>
  <c r="F1949" i="1"/>
  <c r="H1948" i="1"/>
  <c r="F1948" i="1"/>
  <c r="H1947" i="1"/>
  <c r="F1947" i="1"/>
  <c r="H1946" i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9" i="1"/>
  <c r="F1939" i="1"/>
  <c r="H1938" i="1"/>
  <c r="F1938" i="1"/>
  <c r="H1937" i="1"/>
  <c r="F1937" i="1"/>
  <c r="H1936" i="1"/>
  <c r="F1936" i="1"/>
  <c r="H1935" i="1"/>
  <c r="F1935" i="1"/>
  <c r="H1934" i="1"/>
  <c r="F1934" i="1"/>
  <c r="H1933" i="1"/>
  <c r="F1933" i="1"/>
  <c r="H1932" i="1"/>
  <c r="F1932" i="1"/>
  <c r="H1931" i="1"/>
  <c r="F1931" i="1"/>
  <c r="H1930" i="1"/>
  <c r="F1930" i="1"/>
  <c r="H1929" i="1"/>
  <c r="F1929" i="1"/>
  <c r="H1928" i="1"/>
  <c r="F1928" i="1"/>
  <c r="H1927" i="1"/>
  <c r="F1927" i="1"/>
  <c r="H1926" i="1"/>
  <c r="F1926" i="1"/>
  <c r="H1925" i="1"/>
  <c r="F1925" i="1"/>
  <c r="H1924" i="1"/>
  <c r="F1924" i="1"/>
  <c r="H1923" i="1"/>
  <c r="F1923" i="1"/>
  <c r="H1922" i="1"/>
  <c r="F1922" i="1"/>
  <c r="H1921" i="1"/>
  <c r="F1921" i="1"/>
  <c r="H1920" i="1"/>
  <c r="F1920" i="1"/>
  <c r="H1919" i="1"/>
  <c r="F1919" i="1"/>
  <c r="H1918" i="1"/>
  <c r="F1918" i="1"/>
  <c r="H1917" i="1"/>
  <c r="F1917" i="1"/>
  <c r="H1916" i="1"/>
  <c r="F1916" i="1"/>
  <c r="H1915" i="1"/>
  <c r="F1915" i="1"/>
  <c r="H1914" i="1"/>
  <c r="F1914" i="1"/>
  <c r="H1913" i="1"/>
  <c r="F1913" i="1"/>
  <c r="H1912" i="1"/>
  <c r="F1912" i="1"/>
  <c r="H1911" i="1"/>
  <c r="F1911" i="1"/>
  <c r="H1910" i="1"/>
  <c r="F1910" i="1"/>
  <c r="H1909" i="1"/>
  <c r="F1909" i="1"/>
  <c r="H1908" i="1"/>
  <c r="F1908" i="1"/>
  <c r="H1907" i="1"/>
  <c r="F1907" i="1"/>
  <c r="H1906" i="1"/>
  <c r="F1906" i="1"/>
  <c r="H1905" i="1"/>
  <c r="F1905" i="1"/>
  <c r="H1904" i="1"/>
  <c r="F1904" i="1"/>
  <c r="H1903" i="1"/>
  <c r="F1903" i="1"/>
  <c r="H1902" i="1"/>
  <c r="F1902" i="1"/>
  <c r="H1901" i="1"/>
  <c r="F1901" i="1"/>
  <c r="H1900" i="1"/>
  <c r="F1900" i="1"/>
  <c r="H1899" i="1"/>
  <c r="F1899" i="1"/>
  <c r="H1898" i="1"/>
  <c r="F1898" i="1"/>
  <c r="H1897" i="1"/>
  <c r="F1897" i="1"/>
  <c r="H1896" i="1"/>
  <c r="F1896" i="1"/>
  <c r="H1895" i="1"/>
  <c r="F1895" i="1"/>
  <c r="H1894" i="1"/>
  <c r="F1894" i="1"/>
  <c r="H1893" i="1"/>
  <c r="F1893" i="1"/>
  <c r="H1892" i="1"/>
  <c r="F1892" i="1"/>
  <c r="H1891" i="1"/>
  <c r="F1891" i="1"/>
  <c r="H1890" i="1"/>
  <c r="F1890" i="1"/>
  <c r="H1889" i="1"/>
  <c r="F1889" i="1"/>
  <c r="H1888" i="1"/>
  <c r="F1888" i="1"/>
  <c r="H1887" i="1"/>
  <c r="F1887" i="1"/>
  <c r="H1886" i="1"/>
  <c r="F1886" i="1"/>
  <c r="H1885" i="1"/>
  <c r="F1885" i="1"/>
  <c r="H1884" i="1"/>
  <c r="F1884" i="1"/>
  <c r="H1883" i="1"/>
  <c r="F1883" i="1"/>
  <c r="H1882" i="1"/>
  <c r="F1882" i="1"/>
  <c r="H1881" i="1"/>
  <c r="F1881" i="1"/>
  <c r="H1880" i="1"/>
  <c r="F1880" i="1"/>
  <c r="H1879" i="1"/>
  <c r="F1879" i="1"/>
  <c r="H1878" i="1"/>
  <c r="F1878" i="1"/>
  <c r="H1877" i="1"/>
  <c r="F1877" i="1"/>
  <c r="H1876" i="1"/>
  <c r="F1876" i="1"/>
  <c r="H1875" i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3" i="1"/>
  <c r="F1863" i="1"/>
  <c r="H1862" i="1"/>
  <c r="F1862" i="1"/>
  <c r="H1861" i="1"/>
  <c r="F1861" i="1"/>
  <c r="H1860" i="1"/>
  <c r="F1860" i="1"/>
  <c r="H1859" i="1"/>
  <c r="F1859" i="1"/>
  <c r="H1858" i="1"/>
  <c r="F1858" i="1"/>
  <c r="H1857" i="1"/>
  <c r="F1857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F1850" i="1"/>
  <c r="H1849" i="1"/>
  <c r="F1849" i="1"/>
  <c r="H1848" i="1"/>
  <c r="F1848" i="1"/>
  <c r="H1847" i="1"/>
  <c r="F1847" i="1"/>
  <c r="H1846" i="1"/>
  <c r="F1846" i="1"/>
  <c r="H1845" i="1"/>
  <c r="F1845" i="1"/>
  <c r="H1844" i="1"/>
  <c r="F1844" i="1"/>
  <c r="H1843" i="1"/>
  <c r="F1843" i="1"/>
  <c r="H1842" i="1"/>
  <c r="F1842" i="1"/>
  <c r="H1841" i="1"/>
  <c r="F1841" i="1"/>
  <c r="H1840" i="1"/>
  <c r="F1840" i="1"/>
  <c r="H1839" i="1"/>
  <c r="F1839" i="1"/>
  <c r="H1838" i="1"/>
  <c r="F1838" i="1"/>
  <c r="H1837" i="1"/>
  <c r="F1837" i="1"/>
  <c r="H1836" i="1"/>
  <c r="F1836" i="1"/>
  <c r="H1835" i="1"/>
  <c r="F1835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F1828" i="1"/>
  <c r="H1827" i="1"/>
  <c r="F1827" i="1"/>
  <c r="H1826" i="1"/>
  <c r="F1826" i="1"/>
  <c r="H1825" i="1"/>
  <c r="F1825" i="1"/>
  <c r="H1824" i="1"/>
  <c r="F1824" i="1"/>
  <c r="H1823" i="1"/>
  <c r="F1823" i="1"/>
  <c r="H1822" i="1"/>
  <c r="F1822" i="1"/>
  <c r="H1821" i="1"/>
  <c r="F1821" i="1"/>
  <c r="H1820" i="1"/>
  <c r="F1820" i="1"/>
  <c r="H1819" i="1"/>
  <c r="F1819" i="1"/>
  <c r="H1818" i="1"/>
  <c r="F1818" i="1"/>
  <c r="H1817" i="1"/>
  <c r="F1817" i="1"/>
  <c r="H1816" i="1"/>
  <c r="F1816" i="1"/>
  <c r="H1815" i="1"/>
  <c r="F1815" i="1"/>
  <c r="H1814" i="1"/>
  <c r="F1814" i="1"/>
  <c r="H1813" i="1"/>
  <c r="F1813" i="1"/>
  <c r="H1812" i="1"/>
  <c r="F1812" i="1"/>
  <c r="H1811" i="1"/>
  <c r="F1811" i="1"/>
  <c r="H1810" i="1"/>
  <c r="F1810" i="1"/>
  <c r="H1809" i="1"/>
  <c r="F1809" i="1"/>
  <c r="H1808" i="1"/>
  <c r="F1808" i="1"/>
  <c r="H1807" i="1"/>
  <c r="F1807" i="1"/>
  <c r="H1806" i="1"/>
  <c r="F1806" i="1"/>
  <c r="H1805" i="1"/>
  <c r="F1805" i="1"/>
  <c r="H1804" i="1"/>
  <c r="F1804" i="1"/>
  <c r="H1803" i="1"/>
  <c r="F1803" i="1"/>
  <c r="H1802" i="1"/>
  <c r="F1802" i="1"/>
  <c r="H1801" i="1"/>
  <c r="F1801" i="1"/>
  <c r="H1800" i="1"/>
  <c r="F1800" i="1"/>
  <c r="H1799" i="1"/>
  <c r="F1799" i="1"/>
  <c r="H1798" i="1"/>
  <c r="F1798" i="1"/>
  <c r="H1797" i="1"/>
  <c r="F1797" i="1"/>
  <c r="H1796" i="1"/>
  <c r="F1796" i="1"/>
  <c r="H1795" i="1"/>
  <c r="F1795" i="1"/>
  <c r="H1794" i="1"/>
  <c r="F1794" i="1"/>
  <c r="H1793" i="1"/>
  <c r="F1793" i="1"/>
  <c r="H1792" i="1"/>
  <c r="F1792" i="1"/>
  <c r="H1791" i="1"/>
  <c r="F1791" i="1"/>
  <c r="H1790" i="1"/>
  <c r="F1790" i="1"/>
  <c r="H1789" i="1"/>
  <c r="F1789" i="1"/>
  <c r="H1788" i="1"/>
  <c r="F1788" i="1"/>
  <c r="H1787" i="1"/>
  <c r="F1787" i="1"/>
  <c r="H1786" i="1"/>
  <c r="F1786" i="1"/>
  <c r="H1785" i="1"/>
  <c r="F1785" i="1"/>
  <c r="H1784" i="1"/>
  <c r="F1784" i="1"/>
  <c r="H1783" i="1"/>
  <c r="F1783" i="1"/>
  <c r="H1782" i="1"/>
  <c r="F1782" i="1"/>
  <c r="H1781" i="1"/>
  <c r="F1781" i="1"/>
  <c r="H1780" i="1"/>
  <c r="F1780" i="1"/>
  <c r="H1779" i="1"/>
  <c r="F1779" i="1"/>
  <c r="H1778" i="1"/>
  <c r="F1778" i="1"/>
  <c r="H1777" i="1"/>
  <c r="F1777" i="1"/>
  <c r="H1776" i="1"/>
  <c r="F1776" i="1"/>
  <c r="H1775" i="1"/>
  <c r="F1775" i="1"/>
  <c r="H1774" i="1"/>
  <c r="F1774" i="1"/>
  <c r="H1773" i="1"/>
  <c r="F1773" i="1"/>
  <c r="H1772" i="1"/>
  <c r="F1772" i="1"/>
  <c r="H1771" i="1"/>
  <c r="F1771" i="1"/>
  <c r="H1770" i="1"/>
  <c r="F1770" i="1"/>
  <c r="H1769" i="1"/>
  <c r="F1769" i="1"/>
  <c r="H1768" i="1"/>
  <c r="F1768" i="1"/>
  <c r="H1767" i="1"/>
  <c r="F1767" i="1"/>
  <c r="H1766" i="1"/>
  <c r="F1766" i="1"/>
  <c r="H1765" i="1"/>
  <c r="F1765" i="1"/>
  <c r="H1764" i="1"/>
  <c r="F1764" i="1"/>
  <c r="H1763" i="1"/>
  <c r="F1763" i="1"/>
  <c r="H1762" i="1"/>
  <c r="F1762" i="1"/>
  <c r="H1761" i="1"/>
  <c r="F1761" i="1"/>
  <c r="H1760" i="1"/>
  <c r="F1760" i="1"/>
  <c r="H1759" i="1"/>
  <c r="F1759" i="1"/>
  <c r="H1758" i="1"/>
  <c r="F1758" i="1"/>
  <c r="H1757" i="1"/>
  <c r="F1757" i="1"/>
  <c r="H1756" i="1"/>
  <c r="F1756" i="1"/>
  <c r="H1755" i="1"/>
  <c r="F1755" i="1"/>
  <c r="H1754" i="1"/>
  <c r="F1754" i="1"/>
  <c r="H1753" i="1"/>
  <c r="F1753" i="1"/>
  <c r="H1752" i="1"/>
  <c r="F1752" i="1"/>
  <c r="H1751" i="1"/>
  <c r="F1751" i="1"/>
  <c r="H1750" i="1"/>
  <c r="F1750" i="1"/>
  <c r="H1749" i="1"/>
  <c r="F1749" i="1"/>
  <c r="H1748" i="1"/>
  <c r="F1748" i="1"/>
  <c r="H1747" i="1"/>
  <c r="F1747" i="1"/>
  <c r="H1746" i="1"/>
  <c r="F1746" i="1"/>
  <c r="H1745" i="1"/>
  <c r="F1745" i="1"/>
  <c r="H1744" i="1"/>
  <c r="F1744" i="1"/>
  <c r="H1743" i="1"/>
  <c r="F1743" i="1"/>
  <c r="H1742" i="1"/>
  <c r="F1742" i="1"/>
  <c r="H1741" i="1"/>
  <c r="F1741" i="1"/>
  <c r="H1740" i="1"/>
  <c r="F1740" i="1"/>
  <c r="H1739" i="1"/>
  <c r="F1739" i="1"/>
  <c r="H1738" i="1"/>
  <c r="F1738" i="1"/>
  <c r="H1737" i="1"/>
  <c r="F1737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F1730" i="1"/>
  <c r="H1729" i="1"/>
  <c r="F1729" i="1"/>
  <c r="H1728" i="1"/>
  <c r="F1728" i="1"/>
  <c r="H1727" i="1"/>
  <c r="F1727" i="1"/>
  <c r="H1726" i="1"/>
  <c r="F1726" i="1"/>
  <c r="H1725" i="1"/>
  <c r="F1725" i="1"/>
  <c r="H1724" i="1"/>
  <c r="F1724" i="1"/>
  <c r="H1723" i="1"/>
  <c r="F1723" i="1"/>
  <c r="H1722" i="1"/>
  <c r="F1722" i="1"/>
  <c r="H1721" i="1"/>
  <c r="F1721" i="1"/>
  <c r="H1720" i="1"/>
  <c r="F1720" i="1"/>
  <c r="H1719" i="1"/>
  <c r="F1719" i="1"/>
  <c r="H1718" i="1"/>
  <c r="F1718" i="1"/>
  <c r="H1717" i="1"/>
  <c r="F1717" i="1"/>
  <c r="H1716" i="1"/>
  <c r="F1716" i="1"/>
  <c r="H1715" i="1"/>
  <c r="F1715" i="1"/>
  <c r="H1714" i="1"/>
  <c r="F1714" i="1"/>
  <c r="H1713" i="1"/>
  <c r="F1713" i="1"/>
  <c r="H1712" i="1"/>
  <c r="F1712" i="1"/>
  <c r="H1711" i="1"/>
  <c r="F1711" i="1"/>
  <c r="H1710" i="1"/>
  <c r="F1710" i="1"/>
  <c r="H1709" i="1"/>
  <c r="F1709" i="1"/>
  <c r="H1708" i="1"/>
  <c r="F1708" i="1"/>
  <c r="H1707" i="1"/>
  <c r="F1707" i="1"/>
  <c r="H1706" i="1"/>
  <c r="F1706" i="1"/>
  <c r="H1705" i="1"/>
  <c r="F1705" i="1"/>
  <c r="H1704" i="1"/>
  <c r="F1704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7" i="1"/>
  <c r="F1697" i="1"/>
  <c r="H1696" i="1"/>
  <c r="F1696" i="1"/>
  <c r="H1695" i="1"/>
  <c r="F1695" i="1"/>
  <c r="H1694" i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F1688" i="1"/>
  <c r="H1687" i="1"/>
  <c r="F1687" i="1"/>
  <c r="H1686" i="1"/>
  <c r="F1686" i="1"/>
  <c r="H1685" i="1"/>
  <c r="F1685" i="1"/>
  <c r="H1684" i="1"/>
  <c r="F1684" i="1"/>
  <c r="H1683" i="1"/>
  <c r="F1683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F1675" i="1"/>
  <c r="H1674" i="1"/>
  <c r="F1674" i="1"/>
  <c r="H1673" i="1"/>
  <c r="F1673" i="1"/>
  <c r="H1672" i="1"/>
  <c r="F1672" i="1"/>
  <c r="H1671" i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2" i="1"/>
  <c r="F1662" i="1"/>
  <c r="H1661" i="1"/>
  <c r="F1661" i="1"/>
  <c r="H1660" i="1"/>
  <c r="F1660" i="1"/>
  <c r="H1659" i="1"/>
  <c r="F1659" i="1"/>
  <c r="H1658" i="1"/>
  <c r="F1658" i="1"/>
  <c r="H1657" i="1"/>
  <c r="F1657" i="1"/>
  <c r="H1656" i="1"/>
  <c r="F1656" i="1"/>
  <c r="H1655" i="1"/>
  <c r="F1655" i="1"/>
  <c r="H1654" i="1"/>
  <c r="F1654" i="1"/>
  <c r="H1653" i="1"/>
  <c r="F1653" i="1"/>
  <c r="H1652" i="1"/>
  <c r="F1652" i="1"/>
  <c r="H1651" i="1"/>
  <c r="F1651" i="1"/>
  <c r="H1650" i="1"/>
  <c r="F1650" i="1"/>
  <c r="H1649" i="1"/>
  <c r="F1649" i="1"/>
  <c r="H1648" i="1"/>
  <c r="F1648" i="1"/>
  <c r="H1647" i="1"/>
  <c r="F1647" i="1"/>
  <c r="H1646" i="1"/>
  <c r="F1646" i="1"/>
  <c r="H1645" i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F1639" i="1"/>
  <c r="H1638" i="1"/>
  <c r="F1638" i="1"/>
  <c r="H1637" i="1"/>
  <c r="F1637" i="1"/>
  <c r="H1636" i="1"/>
  <c r="F1636" i="1"/>
  <c r="H1635" i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F1627" i="1"/>
  <c r="H1626" i="1"/>
  <c r="F1626" i="1"/>
  <c r="H1625" i="1"/>
  <c r="F1625" i="1"/>
  <c r="H1624" i="1"/>
  <c r="F1624" i="1"/>
  <c r="H1623" i="1"/>
  <c r="F1623" i="1"/>
  <c r="H1622" i="1"/>
  <c r="F1622" i="1"/>
  <c r="H1621" i="1"/>
  <c r="F1621" i="1"/>
  <c r="H1620" i="1"/>
  <c r="F1620" i="1"/>
  <c r="H1619" i="1"/>
  <c r="F1619" i="1"/>
  <c r="H1618" i="1"/>
  <c r="F1618" i="1"/>
  <c r="H1617" i="1"/>
  <c r="F1617" i="1"/>
  <c r="H1616" i="1"/>
  <c r="F1616" i="1"/>
  <c r="H1615" i="1"/>
  <c r="F1615" i="1"/>
  <c r="H1614" i="1"/>
  <c r="F1614" i="1"/>
  <c r="H1613" i="1"/>
  <c r="F1613" i="1"/>
  <c r="H1612" i="1"/>
  <c r="F1612" i="1"/>
  <c r="H1611" i="1"/>
  <c r="F1611" i="1"/>
  <c r="H1610" i="1"/>
  <c r="F1610" i="1"/>
  <c r="H1609" i="1"/>
  <c r="F1609" i="1"/>
  <c r="H1608" i="1"/>
  <c r="F1608" i="1"/>
  <c r="H1607" i="1"/>
  <c r="F1607" i="1"/>
  <c r="H1606" i="1"/>
  <c r="F1606" i="1"/>
  <c r="H1605" i="1"/>
  <c r="F1605" i="1"/>
  <c r="H1604" i="1"/>
  <c r="F1604" i="1"/>
  <c r="H1603" i="1"/>
  <c r="F1603" i="1"/>
  <c r="H1602" i="1"/>
  <c r="F1602" i="1"/>
  <c r="H1601" i="1"/>
  <c r="F1601" i="1"/>
  <c r="H1600" i="1"/>
  <c r="F1600" i="1"/>
  <c r="H1599" i="1"/>
  <c r="F1599" i="1"/>
  <c r="H1598" i="1"/>
  <c r="F1598" i="1"/>
  <c r="H1597" i="1"/>
  <c r="F1597" i="1"/>
  <c r="H1596" i="1"/>
  <c r="F1596" i="1"/>
  <c r="H1595" i="1"/>
  <c r="F1595" i="1"/>
  <c r="H1594" i="1"/>
  <c r="F1594" i="1"/>
  <c r="H1593" i="1"/>
  <c r="F1593" i="1"/>
  <c r="H1592" i="1"/>
  <c r="F1592" i="1"/>
  <c r="H1591" i="1"/>
  <c r="F1591" i="1"/>
  <c r="H1590" i="1"/>
  <c r="F1590" i="1"/>
  <c r="H1589" i="1"/>
  <c r="F1589" i="1"/>
  <c r="H1588" i="1"/>
  <c r="F1588" i="1"/>
  <c r="H1587" i="1"/>
  <c r="F1587" i="1"/>
  <c r="H1586" i="1"/>
  <c r="F1586" i="1"/>
  <c r="H1585" i="1"/>
  <c r="F1585" i="1"/>
  <c r="H1584" i="1"/>
  <c r="F1584" i="1"/>
  <c r="H1583" i="1"/>
  <c r="F1583" i="1"/>
  <c r="H1582" i="1"/>
  <c r="F1582" i="1"/>
  <c r="H1581" i="1"/>
  <c r="F1581" i="1"/>
  <c r="H1580" i="1"/>
  <c r="F1580" i="1"/>
  <c r="H1579" i="1"/>
  <c r="F1579" i="1"/>
  <c r="H1578" i="1"/>
  <c r="F1578" i="1"/>
  <c r="H1577" i="1"/>
  <c r="F1577" i="1"/>
  <c r="H1576" i="1"/>
  <c r="F1576" i="1"/>
  <c r="H1575" i="1"/>
  <c r="F1575" i="1"/>
  <c r="H1574" i="1"/>
  <c r="F1574" i="1"/>
  <c r="H1573" i="1"/>
  <c r="F1573" i="1"/>
  <c r="H1572" i="1"/>
  <c r="F1572" i="1"/>
  <c r="H1571" i="1"/>
  <c r="F1571" i="1"/>
  <c r="H1570" i="1"/>
  <c r="F1570" i="1"/>
  <c r="H1569" i="1"/>
  <c r="F1569" i="1"/>
  <c r="H1568" i="1"/>
  <c r="F1568" i="1"/>
  <c r="H1567" i="1"/>
  <c r="F1567" i="1"/>
  <c r="H1566" i="1"/>
  <c r="F1566" i="1"/>
  <c r="H1565" i="1"/>
  <c r="F1565" i="1"/>
  <c r="H1564" i="1"/>
  <c r="F1564" i="1"/>
  <c r="H1563" i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F1557" i="1"/>
  <c r="H1556" i="1"/>
  <c r="F1556" i="1"/>
  <c r="H1555" i="1"/>
  <c r="F1555" i="1"/>
  <c r="H1554" i="1"/>
  <c r="F1554" i="1"/>
  <c r="H1553" i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F1545" i="1"/>
  <c r="H1544" i="1"/>
  <c r="F1544" i="1"/>
  <c r="H1543" i="1"/>
  <c r="F1543" i="1"/>
  <c r="H1542" i="1"/>
  <c r="F1542" i="1"/>
  <c r="H1541" i="1"/>
  <c r="F1541" i="1"/>
  <c r="H1540" i="1"/>
  <c r="F1540" i="1"/>
  <c r="H1539" i="1"/>
  <c r="F1539" i="1"/>
  <c r="H1538" i="1"/>
  <c r="F1538" i="1"/>
  <c r="H1537" i="1"/>
  <c r="F1537" i="1"/>
  <c r="H1536" i="1"/>
  <c r="F1536" i="1"/>
  <c r="H1535" i="1"/>
  <c r="F1535" i="1"/>
  <c r="H1534" i="1"/>
  <c r="F1534" i="1"/>
  <c r="H1533" i="1"/>
  <c r="F1533" i="1"/>
  <c r="H1532" i="1"/>
  <c r="F1532" i="1"/>
  <c r="H1531" i="1"/>
  <c r="F1531" i="1"/>
  <c r="H1530" i="1"/>
  <c r="F1530" i="1"/>
  <c r="H1529" i="1"/>
  <c r="F1529" i="1"/>
  <c r="H1528" i="1"/>
  <c r="F1528" i="1"/>
  <c r="H1527" i="1"/>
  <c r="F1527" i="1"/>
  <c r="H1526" i="1"/>
  <c r="F1526" i="1"/>
  <c r="H1525" i="1"/>
  <c r="F1525" i="1"/>
  <c r="H1524" i="1"/>
  <c r="F1524" i="1"/>
  <c r="H1523" i="1"/>
  <c r="F1523" i="1"/>
  <c r="H1522" i="1"/>
  <c r="F1522" i="1"/>
  <c r="H1521" i="1"/>
  <c r="F1521" i="1"/>
  <c r="H1520" i="1"/>
  <c r="F1520" i="1"/>
  <c r="H1519" i="1"/>
  <c r="F1519" i="1"/>
  <c r="H1518" i="1"/>
  <c r="F1518" i="1"/>
  <c r="H1517" i="1"/>
  <c r="F1517" i="1"/>
  <c r="H1516" i="1"/>
  <c r="F1516" i="1"/>
  <c r="H1515" i="1"/>
  <c r="F1515" i="1"/>
  <c r="H1514" i="1"/>
  <c r="F1514" i="1"/>
  <c r="H1513" i="1"/>
  <c r="F1513" i="1"/>
  <c r="H1512" i="1"/>
  <c r="F1512" i="1"/>
  <c r="H1511" i="1"/>
  <c r="F1511" i="1"/>
  <c r="H1510" i="1"/>
  <c r="F1510" i="1"/>
  <c r="H1509" i="1"/>
  <c r="F1509" i="1"/>
  <c r="H1508" i="1"/>
  <c r="F1508" i="1"/>
  <c r="H1507" i="1"/>
  <c r="F1507" i="1"/>
  <c r="H1506" i="1"/>
  <c r="F1506" i="1"/>
  <c r="H1505" i="1"/>
  <c r="F1505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H1495" i="1"/>
  <c r="F1495" i="1"/>
  <c r="H1494" i="1"/>
  <c r="F1494" i="1"/>
  <c r="H1493" i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F1487" i="1"/>
  <c r="H1486" i="1"/>
  <c r="F1486" i="1"/>
  <c r="H1485" i="1"/>
  <c r="F1485" i="1"/>
  <c r="H1484" i="1"/>
  <c r="F1484" i="1"/>
  <c r="H1483" i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F1474" i="1"/>
  <c r="H1473" i="1"/>
  <c r="F1473" i="1"/>
  <c r="H1472" i="1"/>
  <c r="F1472" i="1"/>
  <c r="H1471" i="1"/>
  <c r="F1471" i="1"/>
  <c r="H1470" i="1"/>
  <c r="F1470" i="1"/>
  <c r="H1469" i="1"/>
  <c r="F1469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F1457" i="1"/>
  <c r="H1456" i="1"/>
  <c r="F1456" i="1"/>
  <c r="H1455" i="1"/>
  <c r="F1455" i="1"/>
  <c r="H1454" i="1"/>
  <c r="F1454" i="1"/>
  <c r="H1453" i="1"/>
  <c r="F1453" i="1"/>
  <c r="H1452" i="1"/>
  <c r="F1452" i="1"/>
  <c r="H1451" i="1"/>
  <c r="F1451" i="1"/>
  <c r="H1450" i="1"/>
  <c r="F1450" i="1"/>
  <c r="H1449" i="1"/>
  <c r="F1449" i="1"/>
  <c r="H1448" i="1"/>
  <c r="F1448" i="1"/>
  <c r="H1447" i="1"/>
  <c r="F1447" i="1"/>
  <c r="H1446" i="1"/>
  <c r="F1446" i="1"/>
  <c r="H1445" i="1"/>
  <c r="F1445" i="1"/>
  <c r="H1444" i="1"/>
  <c r="F1444" i="1"/>
  <c r="H1443" i="1"/>
  <c r="F1443" i="1"/>
  <c r="H1442" i="1"/>
  <c r="F1442" i="1"/>
  <c r="H1441" i="1"/>
  <c r="F1441" i="1"/>
  <c r="H1440" i="1"/>
  <c r="F1440" i="1"/>
  <c r="H1439" i="1"/>
  <c r="F1439" i="1"/>
  <c r="H1438" i="1"/>
  <c r="F1438" i="1"/>
  <c r="H1437" i="1"/>
  <c r="F1437" i="1"/>
  <c r="H1436" i="1"/>
  <c r="F1436" i="1"/>
  <c r="H1435" i="1"/>
  <c r="F1435" i="1"/>
  <c r="H1434" i="1"/>
  <c r="F1434" i="1"/>
  <c r="H1433" i="1"/>
  <c r="F1433" i="1"/>
  <c r="H1432" i="1"/>
  <c r="F1432" i="1"/>
  <c r="H1431" i="1"/>
  <c r="F1431" i="1"/>
  <c r="H1430" i="1"/>
  <c r="F1430" i="1"/>
  <c r="H1429" i="1"/>
  <c r="F1429" i="1"/>
  <c r="H1428" i="1"/>
  <c r="F1428" i="1"/>
  <c r="H1427" i="1"/>
  <c r="F1427" i="1"/>
  <c r="H1426" i="1"/>
  <c r="F1426" i="1"/>
  <c r="H1425" i="1"/>
  <c r="F1425" i="1"/>
  <c r="H1424" i="1"/>
  <c r="F1424" i="1"/>
  <c r="H1423" i="1"/>
  <c r="F1423" i="1"/>
  <c r="H1422" i="1"/>
  <c r="F1422" i="1"/>
  <c r="H1421" i="1"/>
  <c r="F1421" i="1"/>
  <c r="H1420" i="1"/>
  <c r="F1420" i="1"/>
  <c r="H1419" i="1"/>
  <c r="F1419" i="1"/>
  <c r="H1418" i="1"/>
  <c r="F1418" i="1"/>
  <c r="H1417" i="1"/>
  <c r="F1417" i="1"/>
  <c r="H1416" i="1"/>
  <c r="F1416" i="1"/>
  <c r="H1415" i="1"/>
  <c r="F1415" i="1"/>
  <c r="H1414" i="1"/>
  <c r="F1414" i="1"/>
  <c r="H1413" i="1"/>
  <c r="F1413" i="1"/>
  <c r="H1412" i="1"/>
  <c r="F1412" i="1"/>
  <c r="H1411" i="1"/>
  <c r="F1411" i="1"/>
  <c r="H1410" i="1"/>
  <c r="F1410" i="1"/>
  <c r="H1409" i="1"/>
  <c r="F1409" i="1"/>
  <c r="H1408" i="1"/>
  <c r="F1408" i="1"/>
  <c r="H1407" i="1"/>
  <c r="F1407" i="1"/>
  <c r="H1406" i="1"/>
  <c r="F1406" i="1"/>
  <c r="H1405" i="1"/>
  <c r="F1405" i="1"/>
  <c r="H1404" i="1"/>
  <c r="F1404" i="1"/>
  <c r="H1403" i="1"/>
  <c r="F1403" i="1"/>
  <c r="H1402" i="1"/>
  <c r="F1402" i="1"/>
  <c r="H1401" i="1"/>
  <c r="F1401" i="1"/>
  <c r="H1400" i="1"/>
  <c r="F1400" i="1"/>
  <c r="H1399" i="1"/>
  <c r="F1399" i="1"/>
  <c r="H1398" i="1"/>
  <c r="F1398" i="1"/>
  <c r="H1397" i="1"/>
  <c r="F1397" i="1"/>
  <c r="H1396" i="1"/>
  <c r="F1396" i="1"/>
  <c r="H1395" i="1"/>
  <c r="F1395" i="1"/>
  <c r="H1394" i="1"/>
  <c r="F1394" i="1"/>
  <c r="H1393" i="1"/>
  <c r="F1393" i="1"/>
  <c r="H1392" i="1"/>
  <c r="F1392" i="1"/>
  <c r="H1391" i="1"/>
  <c r="F1391" i="1"/>
  <c r="H1390" i="1"/>
  <c r="F1390" i="1"/>
  <c r="H1389" i="1"/>
  <c r="F1389" i="1"/>
  <c r="H1388" i="1"/>
  <c r="F1388" i="1"/>
  <c r="H1387" i="1"/>
  <c r="F1387" i="1"/>
  <c r="H1386" i="1"/>
  <c r="F1386" i="1"/>
  <c r="H1385" i="1"/>
  <c r="F1385" i="1"/>
  <c r="H1384" i="1"/>
  <c r="F1384" i="1"/>
  <c r="H1383" i="1"/>
  <c r="F1383" i="1"/>
  <c r="H1382" i="1"/>
  <c r="F1382" i="1"/>
  <c r="H1381" i="1"/>
  <c r="F1381" i="1"/>
  <c r="H1380" i="1"/>
  <c r="F1380" i="1"/>
  <c r="H1379" i="1"/>
  <c r="F1379" i="1"/>
  <c r="H1378" i="1"/>
  <c r="F1378" i="1"/>
  <c r="H1377" i="1"/>
  <c r="F1377" i="1"/>
  <c r="H1376" i="1"/>
  <c r="F1376" i="1"/>
  <c r="H1375" i="1"/>
  <c r="F1375" i="1"/>
  <c r="H1374" i="1"/>
  <c r="F1374" i="1"/>
  <c r="H1373" i="1"/>
  <c r="F1373" i="1"/>
  <c r="H1372" i="1"/>
  <c r="F1372" i="1"/>
  <c r="H1371" i="1"/>
  <c r="F1371" i="1"/>
  <c r="H1370" i="1"/>
  <c r="F1370" i="1"/>
  <c r="H1369" i="1"/>
  <c r="F1369" i="1"/>
  <c r="H1368" i="1"/>
  <c r="F1368" i="1"/>
  <c r="H1367" i="1"/>
  <c r="F1367" i="1"/>
  <c r="H1366" i="1"/>
  <c r="F1366" i="1"/>
  <c r="H1365" i="1"/>
  <c r="F1365" i="1"/>
  <c r="H1364" i="1"/>
  <c r="F1364" i="1"/>
  <c r="H1363" i="1"/>
  <c r="F1363" i="1"/>
  <c r="H1362" i="1"/>
  <c r="F1362" i="1"/>
  <c r="H1361" i="1"/>
  <c r="F1361" i="1"/>
  <c r="H1360" i="1"/>
  <c r="F1360" i="1"/>
  <c r="H1359" i="1"/>
  <c r="F1359" i="1"/>
  <c r="H1358" i="1"/>
  <c r="F1358" i="1"/>
  <c r="H1357" i="1"/>
  <c r="F1357" i="1"/>
  <c r="H1356" i="1"/>
  <c r="F1356" i="1"/>
  <c r="H1355" i="1"/>
  <c r="F1355" i="1"/>
  <c r="H1354" i="1"/>
  <c r="F1354" i="1"/>
  <c r="H1353" i="1"/>
  <c r="F1353" i="1"/>
  <c r="H1352" i="1"/>
  <c r="F1352" i="1"/>
  <c r="H1351" i="1"/>
  <c r="F1351" i="1"/>
  <c r="H1350" i="1"/>
  <c r="F1350" i="1"/>
  <c r="H1349" i="1"/>
  <c r="F1349" i="1"/>
  <c r="H1348" i="1"/>
  <c r="F1348" i="1"/>
  <c r="H1347" i="1"/>
  <c r="F1347" i="1"/>
  <c r="H1346" i="1"/>
  <c r="F1346" i="1"/>
  <c r="H1345" i="1"/>
  <c r="F1345" i="1"/>
  <c r="H1344" i="1"/>
  <c r="F1344" i="1"/>
  <c r="H1343" i="1"/>
  <c r="F1343" i="1"/>
  <c r="H1342" i="1"/>
  <c r="F1342" i="1"/>
  <c r="H1341" i="1"/>
  <c r="F1341" i="1"/>
  <c r="H1340" i="1"/>
  <c r="F1340" i="1"/>
  <c r="H1339" i="1"/>
  <c r="F1339" i="1"/>
  <c r="H1338" i="1"/>
  <c r="F1338" i="1"/>
  <c r="H1337" i="1"/>
  <c r="F1337" i="1"/>
  <c r="H1336" i="1"/>
  <c r="F1336" i="1"/>
  <c r="H1335" i="1"/>
  <c r="F1335" i="1"/>
  <c r="H1334" i="1"/>
  <c r="F1334" i="1"/>
  <c r="H1333" i="1"/>
  <c r="F1333" i="1"/>
  <c r="H1332" i="1"/>
  <c r="F1332" i="1"/>
  <c r="H1331" i="1"/>
  <c r="F1331" i="1"/>
  <c r="H1330" i="1"/>
  <c r="F1330" i="1"/>
  <c r="H1329" i="1"/>
  <c r="F1329" i="1"/>
  <c r="H1328" i="1"/>
  <c r="F1328" i="1"/>
  <c r="H1327" i="1"/>
  <c r="F1327" i="1"/>
  <c r="H1326" i="1"/>
  <c r="F1326" i="1"/>
  <c r="H1325" i="1"/>
  <c r="F1325" i="1"/>
  <c r="H1324" i="1"/>
  <c r="F1324" i="1"/>
  <c r="H1323" i="1"/>
  <c r="F1323" i="1"/>
  <c r="H1322" i="1"/>
  <c r="F1322" i="1"/>
  <c r="H1321" i="1"/>
  <c r="F1321" i="1"/>
  <c r="H1320" i="1"/>
  <c r="F1320" i="1"/>
  <c r="H1319" i="1"/>
  <c r="F1319" i="1"/>
  <c r="H1318" i="1"/>
  <c r="F1318" i="1"/>
  <c r="H1317" i="1"/>
  <c r="F1317" i="1"/>
  <c r="H1316" i="1"/>
  <c r="F1316" i="1"/>
  <c r="H1315" i="1"/>
  <c r="F1315" i="1"/>
  <c r="H1314" i="1"/>
  <c r="F1314" i="1"/>
  <c r="H1313" i="1"/>
  <c r="F1313" i="1"/>
  <c r="H1312" i="1"/>
  <c r="F1312" i="1"/>
  <c r="H1311" i="1"/>
  <c r="F1311" i="1"/>
  <c r="H1310" i="1"/>
  <c r="F1310" i="1"/>
  <c r="H1309" i="1"/>
  <c r="F1309" i="1"/>
  <c r="H1308" i="1"/>
  <c r="F1308" i="1"/>
  <c r="H1307" i="1"/>
  <c r="F1307" i="1"/>
  <c r="H1306" i="1"/>
  <c r="F1306" i="1"/>
  <c r="H1305" i="1"/>
  <c r="F1305" i="1"/>
  <c r="H1304" i="1"/>
  <c r="F1304" i="1"/>
  <c r="H1303" i="1"/>
  <c r="F1303" i="1"/>
  <c r="H1302" i="1"/>
  <c r="F1302" i="1"/>
  <c r="H1301" i="1"/>
  <c r="F1301" i="1"/>
  <c r="H1300" i="1"/>
  <c r="F1300" i="1"/>
  <c r="H1299" i="1"/>
  <c r="F1299" i="1"/>
  <c r="H1298" i="1"/>
  <c r="F1298" i="1"/>
  <c r="H1297" i="1"/>
  <c r="F1297" i="1"/>
  <c r="H1296" i="1"/>
  <c r="F1296" i="1"/>
  <c r="H1295" i="1"/>
  <c r="F1295" i="1"/>
  <c r="H1294" i="1"/>
  <c r="F1294" i="1"/>
  <c r="H1293" i="1"/>
  <c r="F1293" i="1"/>
  <c r="H1292" i="1"/>
  <c r="F1292" i="1"/>
  <c r="H1291" i="1"/>
  <c r="F1291" i="1"/>
  <c r="H1290" i="1"/>
  <c r="F1290" i="1"/>
  <c r="H1289" i="1"/>
  <c r="F1289" i="1"/>
  <c r="H1288" i="1"/>
  <c r="F1288" i="1"/>
  <c r="H1287" i="1"/>
  <c r="F1287" i="1"/>
  <c r="H1286" i="1"/>
  <c r="F1286" i="1"/>
  <c r="H1285" i="1"/>
  <c r="F1285" i="1"/>
  <c r="H1284" i="1"/>
  <c r="F1284" i="1"/>
  <c r="H1283" i="1"/>
  <c r="F1283" i="1"/>
  <c r="H1282" i="1"/>
  <c r="F1282" i="1"/>
  <c r="H1281" i="1"/>
  <c r="F1281" i="1"/>
  <c r="H1280" i="1"/>
  <c r="F1280" i="1"/>
  <c r="H1279" i="1"/>
  <c r="F1279" i="1"/>
  <c r="H1278" i="1"/>
  <c r="F1278" i="1"/>
  <c r="H1277" i="1"/>
  <c r="F1277" i="1"/>
  <c r="H1276" i="1"/>
  <c r="F1276" i="1"/>
  <c r="H1275" i="1"/>
  <c r="F1275" i="1"/>
  <c r="H1274" i="1"/>
  <c r="F1274" i="1"/>
  <c r="H1273" i="1"/>
  <c r="F1273" i="1"/>
  <c r="H1272" i="1"/>
  <c r="F1272" i="1"/>
  <c r="H1271" i="1"/>
  <c r="F1271" i="1"/>
  <c r="H1270" i="1"/>
  <c r="F1270" i="1"/>
  <c r="H1269" i="1"/>
  <c r="F1269" i="1"/>
  <c r="H1268" i="1"/>
  <c r="F1268" i="1"/>
  <c r="H1267" i="1"/>
  <c r="F1267" i="1"/>
  <c r="H1266" i="1"/>
  <c r="F1266" i="1"/>
  <c r="H1265" i="1"/>
  <c r="F1265" i="1"/>
  <c r="H1264" i="1"/>
  <c r="F1264" i="1"/>
  <c r="H1263" i="1"/>
  <c r="F1263" i="1"/>
  <c r="H1262" i="1"/>
  <c r="F1262" i="1"/>
  <c r="H1261" i="1"/>
  <c r="F1261" i="1"/>
  <c r="H1260" i="1"/>
  <c r="F1260" i="1"/>
  <c r="H1259" i="1"/>
  <c r="F1259" i="1"/>
  <c r="H1258" i="1"/>
  <c r="F1258" i="1"/>
  <c r="H1257" i="1"/>
  <c r="F1257" i="1"/>
  <c r="H1256" i="1"/>
  <c r="F1256" i="1"/>
  <c r="H1255" i="1"/>
  <c r="F1255" i="1"/>
  <c r="H1254" i="1"/>
  <c r="F1254" i="1"/>
  <c r="H1253" i="1"/>
  <c r="F1253" i="1"/>
  <c r="H1252" i="1"/>
  <c r="F1252" i="1"/>
  <c r="H1251" i="1"/>
  <c r="F1251" i="1"/>
  <c r="H1250" i="1"/>
  <c r="F1250" i="1"/>
  <c r="H1249" i="1"/>
  <c r="F1249" i="1"/>
  <c r="H1248" i="1"/>
  <c r="F1248" i="1"/>
  <c r="H1247" i="1"/>
  <c r="F1247" i="1"/>
  <c r="H1246" i="1"/>
  <c r="F1246" i="1"/>
  <c r="H1245" i="1"/>
  <c r="F1245" i="1"/>
  <c r="H1244" i="1"/>
  <c r="F1244" i="1"/>
  <c r="H1243" i="1"/>
  <c r="F1243" i="1"/>
  <c r="H1242" i="1"/>
  <c r="F1242" i="1"/>
  <c r="H1241" i="1"/>
  <c r="F1241" i="1"/>
  <c r="H1240" i="1"/>
  <c r="F1240" i="1"/>
  <c r="H1239" i="1"/>
  <c r="F1239" i="1"/>
  <c r="H1238" i="1"/>
  <c r="F1238" i="1"/>
  <c r="H1237" i="1"/>
  <c r="F1237" i="1"/>
  <c r="H1236" i="1"/>
  <c r="F1236" i="1"/>
  <c r="H1235" i="1"/>
  <c r="F1235" i="1"/>
  <c r="H1234" i="1"/>
  <c r="F1234" i="1"/>
  <c r="H1233" i="1"/>
  <c r="F1233" i="1"/>
  <c r="H1232" i="1"/>
  <c r="F1232" i="1"/>
  <c r="H1231" i="1"/>
  <c r="F1231" i="1"/>
  <c r="H1230" i="1"/>
  <c r="F1230" i="1"/>
  <c r="H1229" i="1"/>
  <c r="F1229" i="1"/>
  <c r="H1228" i="1"/>
  <c r="F1228" i="1"/>
  <c r="H1227" i="1"/>
  <c r="F1227" i="1"/>
  <c r="H1226" i="1"/>
  <c r="F1226" i="1"/>
  <c r="H1225" i="1"/>
  <c r="F1225" i="1"/>
  <c r="H1224" i="1"/>
  <c r="F1224" i="1"/>
  <c r="H1223" i="1"/>
  <c r="F1223" i="1"/>
  <c r="H1222" i="1"/>
  <c r="F1222" i="1"/>
  <c r="H1221" i="1"/>
  <c r="F1221" i="1"/>
  <c r="H1220" i="1"/>
  <c r="F1220" i="1"/>
  <c r="H1219" i="1"/>
  <c r="F1219" i="1"/>
  <c r="H1218" i="1"/>
  <c r="F1218" i="1"/>
  <c r="H1217" i="1"/>
  <c r="F1217" i="1"/>
  <c r="H1216" i="1"/>
  <c r="F1216" i="1"/>
  <c r="H1215" i="1"/>
  <c r="F1215" i="1"/>
  <c r="H1214" i="1"/>
  <c r="F1214" i="1"/>
  <c r="H1213" i="1"/>
  <c r="F1213" i="1"/>
  <c r="H1212" i="1"/>
  <c r="F1212" i="1"/>
  <c r="H1211" i="1"/>
  <c r="F1211" i="1"/>
  <c r="H1210" i="1"/>
  <c r="F1210" i="1"/>
  <c r="H1209" i="1"/>
  <c r="F1209" i="1"/>
  <c r="H1208" i="1"/>
  <c r="F1208" i="1"/>
  <c r="H1207" i="1"/>
  <c r="F1207" i="1"/>
  <c r="H1206" i="1"/>
  <c r="F1206" i="1"/>
  <c r="H1205" i="1"/>
  <c r="F1205" i="1"/>
  <c r="H1204" i="1"/>
  <c r="F1204" i="1"/>
  <c r="H1203" i="1"/>
  <c r="F1203" i="1"/>
  <c r="H1202" i="1"/>
  <c r="F1202" i="1"/>
  <c r="H1201" i="1"/>
  <c r="F1201" i="1"/>
  <c r="H1200" i="1"/>
  <c r="F1200" i="1"/>
  <c r="H1199" i="1"/>
  <c r="F1199" i="1"/>
  <c r="H1198" i="1"/>
  <c r="F1198" i="1"/>
  <c r="H1197" i="1"/>
  <c r="F1197" i="1"/>
  <c r="H1196" i="1"/>
  <c r="F1196" i="1"/>
  <c r="H1195" i="1"/>
  <c r="F1195" i="1"/>
  <c r="H1194" i="1"/>
  <c r="F1194" i="1"/>
  <c r="H1193" i="1"/>
  <c r="F1193" i="1"/>
  <c r="H1192" i="1"/>
  <c r="F1192" i="1"/>
  <c r="H1191" i="1"/>
  <c r="F1191" i="1"/>
  <c r="H1190" i="1"/>
  <c r="F1190" i="1"/>
  <c r="H1189" i="1"/>
  <c r="F1189" i="1"/>
  <c r="H1188" i="1"/>
  <c r="F1188" i="1"/>
  <c r="H1187" i="1"/>
  <c r="F1187" i="1"/>
  <c r="H1186" i="1"/>
  <c r="F1186" i="1"/>
  <c r="H1185" i="1"/>
  <c r="F1185" i="1"/>
  <c r="H1184" i="1"/>
  <c r="F1184" i="1"/>
  <c r="H1183" i="1"/>
  <c r="F1183" i="1"/>
  <c r="H1182" i="1"/>
  <c r="F1182" i="1"/>
  <c r="H1181" i="1"/>
  <c r="F1181" i="1"/>
  <c r="H1180" i="1"/>
  <c r="F1180" i="1"/>
  <c r="H1179" i="1"/>
  <c r="F1179" i="1"/>
  <c r="H1178" i="1"/>
  <c r="F1178" i="1"/>
  <c r="H1177" i="1"/>
  <c r="F1177" i="1"/>
  <c r="H1176" i="1"/>
  <c r="F1176" i="1"/>
  <c r="H1175" i="1"/>
  <c r="F1175" i="1"/>
  <c r="H1174" i="1"/>
  <c r="F1174" i="1"/>
  <c r="H1173" i="1"/>
  <c r="F1173" i="1"/>
  <c r="H1172" i="1"/>
  <c r="F1172" i="1"/>
  <c r="H1171" i="1"/>
  <c r="F1171" i="1"/>
  <c r="H1170" i="1"/>
  <c r="F1170" i="1"/>
  <c r="H1169" i="1"/>
  <c r="F1169" i="1"/>
  <c r="H1168" i="1"/>
  <c r="F1168" i="1"/>
  <c r="H1167" i="1"/>
  <c r="F1167" i="1"/>
  <c r="H1166" i="1"/>
  <c r="F1166" i="1"/>
  <c r="H1165" i="1"/>
  <c r="F1165" i="1"/>
  <c r="H1164" i="1"/>
  <c r="F1164" i="1"/>
  <c r="H1163" i="1"/>
  <c r="F1163" i="1"/>
  <c r="H1162" i="1"/>
  <c r="F1162" i="1"/>
  <c r="H1161" i="1"/>
  <c r="F1161" i="1"/>
  <c r="H1160" i="1"/>
  <c r="F1160" i="1"/>
  <c r="H1159" i="1"/>
  <c r="F1159" i="1"/>
  <c r="H1158" i="1"/>
  <c r="F1158" i="1"/>
  <c r="H1157" i="1"/>
  <c r="F1157" i="1"/>
  <c r="H1156" i="1"/>
  <c r="F1156" i="1"/>
  <c r="H1155" i="1"/>
  <c r="F1155" i="1"/>
  <c r="H1154" i="1"/>
  <c r="F1154" i="1"/>
  <c r="H1153" i="1"/>
  <c r="F1153" i="1"/>
  <c r="H1152" i="1"/>
  <c r="F1152" i="1"/>
  <c r="H1151" i="1"/>
  <c r="F1151" i="1"/>
  <c r="H1150" i="1"/>
  <c r="F1150" i="1"/>
  <c r="H1149" i="1"/>
  <c r="F1149" i="1"/>
  <c r="H1148" i="1"/>
  <c r="F1148" i="1"/>
  <c r="H1147" i="1"/>
  <c r="F1147" i="1"/>
  <c r="H1146" i="1"/>
  <c r="F1146" i="1"/>
  <c r="H1145" i="1"/>
  <c r="F1145" i="1"/>
  <c r="H1144" i="1"/>
  <c r="F1144" i="1"/>
  <c r="H1143" i="1"/>
  <c r="F1143" i="1"/>
  <c r="H1142" i="1"/>
  <c r="F1142" i="1"/>
  <c r="H1141" i="1"/>
  <c r="F1141" i="1"/>
  <c r="H1140" i="1"/>
  <c r="F1140" i="1"/>
  <c r="H1139" i="1"/>
  <c r="F1139" i="1"/>
  <c r="H1138" i="1"/>
  <c r="F1138" i="1"/>
  <c r="H1137" i="1"/>
  <c r="F1137" i="1"/>
  <c r="H1136" i="1"/>
  <c r="F1136" i="1"/>
  <c r="H1135" i="1"/>
  <c r="F1135" i="1"/>
  <c r="H1134" i="1"/>
  <c r="F1134" i="1"/>
  <c r="H1133" i="1"/>
  <c r="F1133" i="1"/>
  <c r="H1132" i="1"/>
  <c r="F1132" i="1"/>
  <c r="H1131" i="1"/>
  <c r="F1131" i="1"/>
  <c r="H1130" i="1"/>
  <c r="F1130" i="1"/>
  <c r="H1129" i="1"/>
  <c r="F1129" i="1"/>
  <c r="H1128" i="1"/>
  <c r="F1128" i="1"/>
  <c r="H1127" i="1"/>
  <c r="F1127" i="1"/>
  <c r="H1126" i="1"/>
  <c r="F1126" i="1"/>
  <c r="H1125" i="1"/>
  <c r="F1125" i="1"/>
  <c r="H1124" i="1"/>
  <c r="F1124" i="1"/>
  <c r="H1123" i="1"/>
  <c r="F1123" i="1"/>
  <c r="H1122" i="1"/>
  <c r="F1122" i="1"/>
  <c r="H1121" i="1"/>
  <c r="F1121" i="1"/>
  <c r="H1120" i="1"/>
  <c r="F1120" i="1"/>
  <c r="H1119" i="1"/>
  <c r="F1119" i="1"/>
  <c r="H1118" i="1"/>
  <c r="F1118" i="1"/>
  <c r="H1117" i="1"/>
  <c r="F1117" i="1"/>
  <c r="H1116" i="1"/>
  <c r="F1116" i="1"/>
  <c r="H1115" i="1"/>
  <c r="F1115" i="1"/>
  <c r="H1114" i="1"/>
  <c r="F1114" i="1"/>
  <c r="H1113" i="1"/>
  <c r="F1113" i="1"/>
  <c r="H1112" i="1"/>
  <c r="F1112" i="1"/>
  <c r="H1111" i="1"/>
  <c r="F1111" i="1"/>
  <c r="H1110" i="1"/>
  <c r="F1110" i="1"/>
  <c r="H1109" i="1"/>
  <c r="F1109" i="1"/>
  <c r="H1108" i="1"/>
  <c r="F1108" i="1"/>
  <c r="H1107" i="1"/>
  <c r="F1107" i="1"/>
  <c r="H1106" i="1"/>
  <c r="F1106" i="1"/>
  <c r="H1105" i="1"/>
  <c r="F1105" i="1"/>
  <c r="H1104" i="1"/>
  <c r="F1104" i="1"/>
  <c r="H1103" i="1"/>
  <c r="F1103" i="1"/>
  <c r="H1102" i="1"/>
  <c r="F1102" i="1"/>
  <c r="H1101" i="1"/>
  <c r="F1101" i="1"/>
  <c r="H1100" i="1"/>
  <c r="F1100" i="1"/>
  <c r="H1099" i="1"/>
  <c r="F1099" i="1"/>
  <c r="H1098" i="1"/>
  <c r="F1098" i="1"/>
  <c r="H1097" i="1"/>
  <c r="F1097" i="1"/>
  <c r="H1096" i="1"/>
  <c r="F1096" i="1"/>
  <c r="H1095" i="1"/>
  <c r="F1095" i="1"/>
  <c r="H1094" i="1"/>
  <c r="F1094" i="1"/>
  <c r="H1093" i="1"/>
  <c r="F1093" i="1"/>
  <c r="H1092" i="1"/>
  <c r="F1092" i="1"/>
  <c r="H1091" i="1"/>
  <c r="F1091" i="1"/>
  <c r="H1090" i="1"/>
  <c r="F1090" i="1"/>
  <c r="H1089" i="1"/>
  <c r="F1089" i="1"/>
  <c r="H1088" i="1"/>
  <c r="F1088" i="1"/>
  <c r="H1087" i="1"/>
  <c r="F1087" i="1"/>
  <c r="H1086" i="1"/>
  <c r="F1086" i="1"/>
  <c r="H1085" i="1"/>
  <c r="F1085" i="1"/>
  <c r="H1084" i="1"/>
  <c r="F1084" i="1"/>
  <c r="H1083" i="1"/>
  <c r="F1083" i="1"/>
  <c r="H1082" i="1"/>
  <c r="F1082" i="1"/>
  <c r="H1081" i="1"/>
  <c r="F1081" i="1"/>
  <c r="H1080" i="1"/>
  <c r="F1080" i="1"/>
  <c r="H1079" i="1"/>
  <c r="F1079" i="1"/>
  <c r="H1078" i="1"/>
  <c r="F1078" i="1"/>
  <c r="H1077" i="1"/>
  <c r="F1077" i="1"/>
  <c r="H1076" i="1"/>
  <c r="F1076" i="1"/>
  <c r="H1075" i="1"/>
  <c r="F1075" i="1"/>
  <c r="H1074" i="1"/>
  <c r="F1074" i="1"/>
  <c r="H1073" i="1"/>
  <c r="F1073" i="1"/>
  <c r="H1072" i="1"/>
  <c r="F1072" i="1"/>
  <c r="H1071" i="1"/>
  <c r="F1071" i="1"/>
  <c r="H1070" i="1"/>
  <c r="F1070" i="1"/>
  <c r="H1069" i="1"/>
  <c r="F1069" i="1"/>
  <c r="H1068" i="1"/>
  <c r="F1068" i="1"/>
  <c r="H1067" i="1"/>
  <c r="F1067" i="1"/>
  <c r="H1066" i="1"/>
  <c r="F1066" i="1"/>
  <c r="H1065" i="1"/>
  <c r="F1065" i="1"/>
  <c r="H1064" i="1"/>
  <c r="F1064" i="1"/>
  <c r="H1063" i="1"/>
  <c r="F1063" i="1"/>
  <c r="H1062" i="1"/>
  <c r="F1062" i="1"/>
  <c r="H1061" i="1"/>
  <c r="F1061" i="1"/>
  <c r="H1060" i="1"/>
  <c r="F1060" i="1"/>
  <c r="H1059" i="1"/>
  <c r="F1059" i="1"/>
  <c r="H1058" i="1"/>
  <c r="F1058" i="1"/>
  <c r="H1057" i="1"/>
  <c r="F1057" i="1"/>
  <c r="H1056" i="1"/>
  <c r="F1056" i="1"/>
  <c r="H1055" i="1"/>
  <c r="F1055" i="1"/>
  <c r="H1054" i="1"/>
  <c r="F1054" i="1"/>
  <c r="H1053" i="1"/>
  <c r="F1053" i="1"/>
  <c r="H1052" i="1"/>
  <c r="F1052" i="1"/>
  <c r="H1051" i="1"/>
  <c r="F1051" i="1"/>
  <c r="H1050" i="1"/>
  <c r="F1050" i="1"/>
  <c r="H1049" i="1"/>
  <c r="F1049" i="1"/>
  <c r="H1048" i="1"/>
  <c r="F1048" i="1"/>
  <c r="H1047" i="1"/>
  <c r="F1047" i="1"/>
  <c r="H1046" i="1"/>
  <c r="F1046" i="1"/>
  <c r="H1045" i="1"/>
  <c r="F1045" i="1"/>
  <c r="H1044" i="1"/>
  <c r="F1044" i="1"/>
  <c r="H1043" i="1"/>
  <c r="F1043" i="1"/>
  <c r="H1042" i="1"/>
  <c r="F1042" i="1"/>
  <c r="H1041" i="1"/>
  <c r="F1041" i="1"/>
  <c r="H1040" i="1"/>
  <c r="F1040" i="1"/>
  <c r="H1039" i="1"/>
  <c r="F1039" i="1"/>
  <c r="H1038" i="1"/>
  <c r="F1038" i="1"/>
  <c r="H1037" i="1"/>
  <c r="F1037" i="1"/>
  <c r="H1036" i="1"/>
  <c r="F1036" i="1"/>
  <c r="H1035" i="1"/>
  <c r="F1035" i="1"/>
  <c r="H1034" i="1"/>
  <c r="F1034" i="1"/>
  <c r="H1033" i="1"/>
  <c r="F1033" i="1"/>
  <c r="H1032" i="1"/>
  <c r="F1032" i="1"/>
  <c r="H1031" i="1"/>
  <c r="F1031" i="1"/>
  <c r="H1030" i="1"/>
  <c r="F1030" i="1"/>
  <c r="H1029" i="1"/>
  <c r="F1029" i="1"/>
  <c r="H1028" i="1"/>
  <c r="F1028" i="1"/>
  <c r="H1027" i="1"/>
  <c r="F1027" i="1"/>
  <c r="H1026" i="1"/>
  <c r="F1026" i="1"/>
  <c r="H1025" i="1"/>
  <c r="F1025" i="1"/>
  <c r="H1024" i="1"/>
  <c r="F1024" i="1"/>
  <c r="H1023" i="1"/>
  <c r="F1023" i="1"/>
  <c r="H1022" i="1"/>
  <c r="F1022" i="1"/>
  <c r="H1021" i="1"/>
  <c r="F1021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10" i="1"/>
  <c r="F1010" i="1"/>
  <c r="H1009" i="1"/>
  <c r="F1009" i="1"/>
  <c r="H1008" i="1"/>
  <c r="F1008" i="1"/>
  <c r="H1007" i="1"/>
  <c r="F1007" i="1"/>
  <c r="H1006" i="1"/>
  <c r="F1006" i="1"/>
  <c r="H1005" i="1"/>
  <c r="F1005" i="1"/>
  <c r="H1004" i="1"/>
  <c r="F1004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1" i="1"/>
  <c r="F951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3" i="1"/>
  <c r="F933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H2" i="1"/>
  <c r="F2" i="1"/>
  <c r="D5" i="2" l="1"/>
  <c r="C5" i="2"/>
  <c r="B5" i="2"/>
  <c r="D4" i="2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<sst xmlns="http://schemas.openxmlformats.org/spreadsheetml/2006/main" count="2099" uniqueCount="2086">
  <si>
    <t>time</t>
  </si>
  <si>
    <t>open</t>
  </si>
  <si>
    <t>high</t>
  </si>
  <si>
    <t>low</t>
  </si>
  <si>
    <t>close</t>
  </si>
  <si>
    <t>Month</t>
  </si>
  <si>
    <t>Bars(5m)</t>
  </si>
  <si>
    <t>2026-05-27T09:30</t>
  </si>
  <si>
    <t>2026-05-27T09:45</t>
  </si>
  <si>
    <t>2026-05-27T10:00</t>
  </si>
  <si>
    <t>2026-05-27T10:15</t>
  </si>
  <si>
    <t>2026-05-27T10:30</t>
  </si>
  <si>
    <t>2026-05-27T10:45</t>
  </si>
  <si>
    <t>2026-05-27T11:00</t>
  </si>
  <si>
    <t>2026-05-27T11:15</t>
  </si>
  <si>
    <t>2026-05-27T11:30</t>
  </si>
  <si>
    <t>2026-05-27T11:45</t>
  </si>
  <si>
    <t>2026-05-27T12:00</t>
  </si>
  <si>
    <t>2026-05-27T12:15</t>
  </si>
  <si>
    <t>2026-05-27T12:30</t>
  </si>
  <si>
    <t>2026-05-27T12:45</t>
  </si>
  <si>
    <t>2026-05-27T13:00</t>
  </si>
  <si>
    <t>2026-05-27T13:15</t>
  </si>
  <si>
    <t>2026-05-27T13:30</t>
  </si>
  <si>
    <t>2026-05-27T13:45</t>
  </si>
  <si>
    <t>2026-05-27T14:00</t>
  </si>
  <si>
    <t>2026-05-27T14:15</t>
  </si>
  <si>
    <t>2026-05-27T14:30</t>
  </si>
  <si>
    <t>2026-05-27T14:45</t>
  </si>
  <si>
    <t>2026-05-27T15:00</t>
  </si>
  <si>
    <t>2026-05-27T15:15</t>
  </si>
  <si>
    <t>2026-05-29T09:15</t>
  </si>
  <si>
    <t>2026-05-29T09:30</t>
  </si>
  <si>
    <t>2026-05-29T09:45</t>
  </si>
  <si>
    <t>2026-05-29T10:00</t>
  </si>
  <si>
    <t>2026-05-29T10:15</t>
  </si>
  <si>
    <t>2026-05-29T10:30</t>
  </si>
  <si>
    <t>2026-05-29T10:45</t>
  </si>
  <si>
    <t>2026-05-29T11:00</t>
  </si>
  <si>
    <t>2026-05-29T11:15</t>
  </si>
  <si>
    <t>2026-05-29T11:30</t>
  </si>
  <si>
    <t>2026-05-29T11:45</t>
  </si>
  <si>
    <t>2026-05-29T12:00</t>
  </si>
  <si>
    <t>2026-05-29T12:15</t>
  </si>
  <si>
    <t>2026-05-29T12:30</t>
  </si>
  <si>
    <t>2026-05-29T12:45</t>
  </si>
  <si>
    <t>2026-05-29T13:00</t>
  </si>
  <si>
    <t>2026-05-29T13:15</t>
  </si>
  <si>
    <t>2026-05-29T13:30</t>
  </si>
  <si>
    <t>2026-05-29T13:45</t>
  </si>
  <si>
    <t>2026-05-29T14:00</t>
  </si>
  <si>
    <t>2026-05-29T14:15</t>
  </si>
  <si>
    <t>2026-05-29T14:30</t>
  </si>
  <si>
    <t>2026-05-29T14:45</t>
  </si>
  <si>
    <t>2026-05-29T15:00</t>
  </si>
  <si>
    <t>2026-05-29T15:15</t>
  </si>
  <si>
    <t>2026-06-01T09:15</t>
  </si>
  <si>
    <t>2026-06-01T09:30</t>
  </si>
  <si>
    <t>2026-06-01T09:45</t>
  </si>
  <si>
    <t>2026-06-01T10:00</t>
  </si>
  <si>
    <t>2026-06-01T10:15</t>
  </si>
  <si>
    <t>2026-06-01T10:30</t>
  </si>
  <si>
    <t>2026-06-01T10:45</t>
  </si>
  <si>
    <t>2026-06-01T11:00</t>
  </si>
  <si>
    <t>2026-06-01T11:15</t>
  </si>
  <si>
    <t>2026-06-01T11:30</t>
  </si>
  <si>
    <t>2026-06-01T11:45</t>
  </si>
  <si>
    <t>2026-06-01T12:00</t>
  </si>
  <si>
    <t>2026-06-01T12:15</t>
  </si>
  <si>
    <t>2026-06-01T12:30</t>
  </si>
  <si>
    <t>2026-06-01T12:45</t>
  </si>
  <si>
    <t>2026-06-01T13:00</t>
  </si>
  <si>
    <t>2026-06-01T13:15</t>
  </si>
  <si>
    <t>2026-06-01T13:30</t>
  </si>
  <si>
    <t>2026-06-01T13:45</t>
  </si>
  <si>
    <t>2026-06-01T14:00</t>
  </si>
  <si>
    <t>2026-06-01T14:15</t>
  </si>
  <si>
    <t>2026-06-01T14:30</t>
  </si>
  <si>
    <t>2026-06-01T14:45</t>
  </si>
  <si>
    <t>2026-06-01T15:00</t>
  </si>
  <si>
    <t>2026-06-01T15:15</t>
  </si>
  <si>
    <t>2026-06-02T09:15</t>
  </si>
  <si>
    <t>2026-06-02T09:30</t>
  </si>
  <si>
    <t>2026-06-02T09:45</t>
  </si>
  <si>
    <t>2026-06-02T10:00</t>
  </si>
  <si>
    <t>2026-06-02T10:15</t>
  </si>
  <si>
    <t>2026-06-02T10:30</t>
  </si>
  <si>
    <t>2026-06-02T10:45</t>
  </si>
  <si>
    <t>2026-06-02T11:00</t>
  </si>
  <si>
    <t>2026-06-02T11:15</t>
  </si>
  <si>
    <t>2026-06-02T11:30</t>
  </si>
  <si>
    <t>2026-06-02T11:45</t>
  </si>
  <si>
    <t>2026-06-02T12:00</t>
  </si>
  <si>
    <t>2026-06-02T12:15</t>
  </si>
  <si>
    <t>2026-06-02T12:30</t>
  </si>
  <si>
    <t>2026-06-02T12:45</t>
  </si>
  <si>
    <t>2026-06-02T13:00</t>
  </si>
  <si>
    <t>2026-06-02T13:15</t>
  </si>
  <si>
    <t>2026-06-02T13:30</t>
  </si>
  <si>
    <t>2026-06-02T13:45</t>
  </si>
  <si>
    <t>2026-06-02T14:00</t>
  </si>
  <si>
    <t>2026-06-02T14:15</t>
  </si>
  <si>
    <t>2026-06-02T14:30</t>
  </si>
  <si>
    <t>2026-06-02T14:45</t>
  </si>
  <si>
    <t>2026-06-02T15:00</t>
  </si>
  <si>
    <t>2026-06-02T15:15</t>
  </si>
  <si>
    <t>2026-06-03T09:15</t>
  </si>
  <si>
    <t>2026-06-03T09:30</t>
  </si>
  <si>
    <t>2026-06-03T09:45</t>
  </si>
  <si>
    <t>2026-06-03T10:00</t>
  </si>
  <si>
    <t>2026-06-03T10:15</t>
  </si>
  <si>
    <t>2026-06-03T10:30</t>
  </si>
  <si>
    <t>2026-06-03T10:45</t>
  </si>
  <si>
    <t>2026-06-03T11:00</t>
  </si>
  <si>
    <t>2026-06-03T11:15</t>
  </si>
  <si>
    <t>2026-06-03T11:30</t>
  </si>
  <si>
    <t>2026-06-03T11:45</t>
  </si>
  <si>
    <t>2026-06-03T12:00</t>
  </si>
  <si>
    <t>2026-06-03T12:15</t>
  </si>
  <si>
    <t>2026-06-03T12:30</t>
  </si>
  <si>
    <t>2026-06-03T12:45</t>
  </si>
  <si>
    <t>2026-06-03T13:00</t>
  </si>
  <si>
    <t>2026-06-03T13:15</t>
  </si>
  <si>
    <t>2026-06-03T13:30</t>
  </si>
  <si>
    <t>2026-06-03T13:45</t>
  </si>
  <si>
    <t>2026-06-03T14:00</t>
  </si>
  <si>
    <t>2026-06-03T14:15</t>
  </si>
  <si>
    <t>2026-06-03T14:30</t>
  </si>
  <si>
    <t>2026-06-03T14:45</t>
  </si>
  <si>
    <t>2026-06-03T15:00</t>
  </si>
  <si>
    <t>2026-06-03T15:15</t>
  </si>
  <si>
    <t>2026-06-04T09:15</t>
  </si>
  <si>
    <t>2026-06-04T09:30</t>
  </si>
  <si>
    <t>2026-06-04T09:45</t>
  </si>
  <si>
    <t>2026-06-04T10:00</t>
  </si>
  <si>
    <t>2026-06-04T10:15</t>
  </si>
  <si>
    <t>2026-06-04T10:30</t>
  </si>
  <si>
    <t>2026-06-04T10:45</t>
  </si>
  <si>
    <t>2026-06-04T11:00</t>
  </si>
  <si>
    <t>2026-06-04T11:15</t>
  </si>
  <si>
    <t>2026-06-04T11:30</t>
  </si>
  <si>
    <t>2026-06-04T11:45</t>
  </si>
  <si>
    <t>2026-06-04T12:00</t>
  </si>
  <si>
    <t>2026-06-04T12:15</t>
  </si>
  <si>
    <t>2026-06-04T12:30</t>
  </si>
  <si>
    <t>2026-06-04T12:45</t>
  </si>
  <si>
    <t>2026-06-04T13:00</t>
  </si>
  <si>
    <t>2026-06-04T13:15</t>
  </si>
  <si>
    <t>2026-06-04T13:30</t>
  </si>
  <si>
    <t>2026-06-04T13:45</t>
  </si>
  <si>
    <t>2026-06-04T14:00</t>
  </si>
  <si>
    <t>2026-06-04T14:15</t>
  </si>
  <si>
    <t>2026-06-04T14:30</t>
  </si>
  <si>
    <t>2026-06-04T14:45</t>
  </si>
  <si>
    <t>2026-06-04T15:00</t>
  </si>
  <si>
    <t>2026-06-04T15:15</t>
  </si>
  <si>
    <t>2026-06-05T09:15</t>
  </si>
  <si>
    <t>2026-06-05T09:30</t>
  </si>
  <si>
    <t>2026-06-05T09:45</t>
  </si>
  <si>
    <t>2026-06-05T10:00</t>
  </si>
  <si>
    <t>2026-06-05T10:15</t>
  </si>
  <si>
    <t>2026-06-05T10:30</t>
  </si>
  <si>
    <t>2026-06-05T10:45</t>
  </si>
  <si>
    <t>2026-06-05T11:00</t>
  </si>
  <si>
    <t>2026-06-05T11:15</t>
  </si>
  <si>
    <t>2026-06-05T11:30</t>
  </si>
  <si>
    <t>2026-06-05T11:45</t>
  </si>
  <si>
    <t>2026-06-05T12:00</t>
  </si>
  <si>
    <t>2026-06-05T12:15</t>
  </si>
  <si>
    <t>2026-06-05T12:30</t>
  </si>
  <si>
    <t>2026-06-05T12:45</t>
  </si>
  <si>
    <t>2026-06-05T13:00</t>
  </si>
  <si>
    <t>2026-06-05T13:15</t>
  </si>
  <si>
    <t>2026-06-05T13:30</t>
  </si>
  <si>
    <t>2026-06-05T13:45</t>
  </si>
  <si>
    <t>2026-06-05T14:00</t>
  </si>
  <si>
    <t>2026-06-05T14:15</t>
  </si>
  <si>
    <t>2026-06-05T14:30</t>
  </si>
  <si>
    <t>2026-06-05T14:45</t>
  </si>
  <si>
    <t>2026-06-05T15:00</t>
  </si>
  <si>
    <t>2026-06-05T15:15</t>
  </si>
  <si>
    <t>2026-06-08T09:15</t>
  </si>
  <si>
    <t>2026-06-08T09:30</t>
  </si>
  <si>
    <t>2026-06-08T09:45</t>
  </si>
  <si>
    <t>2026-06-08T10:00</t>
  </si>
  <si>
    <t>2026-06-08T10:15</t>
  </si>
  <si>
    <t>2026-06-08T10:30</t>
  </si>
  <si>
    <t>2026-06-08T10:45</t>
  </si>
  <si>
    <t>2026-06-08T11:00</t>
  </si>
  <si>
    <t>2026-06-08T11:15</t>
  </si>
  <si>
    <t>2026-06-08T11:30</t>
  </si>
  <si>
    <t>2026-06-08T11:45</t>
  </si>
  <si>
    <t>2026-06-08T12:00</t>
  </si>
  <si>
    <t>2026-06-08T12:15</t>
  </si>
  <si>
    <t>2026-06-08T12:30</t>
  </si>
  <si>
    <t>2026-06-08T12:45</t>
  </si>
  <si>
    <t>2026-06-08T13:00</t>
  </si>
  <si>
    <t>2026-06-08T13:15</t>
  </si>
  <si>
    <t>2026-06-08T13:30</t>
  </si>
  <si>
    <t>2026-06-08T13:45</t>
  </si>
  <si>
    <t>2026-06-08T14:00</t>
  </si>
  <si>
    <t>2026-06-08T14:15</t>
  </si>
  <si>
    <t>2026-06-08T14:30</t>
  </si>
  <si>
    <t>2026-06-08T14:45</t>
  </si>
  <si>
    <t>2026-06-08T15:00</t>
  </si>
  <si>
    <t>2026-06-08T15:15</t>
  </si>
  <si>
    <t>2026-06-09T09:15</t>
  </si>
  <si>
    <t>2026-06-09T09:30</t>
  </si>
  <si>
    <t>2026-06-09T09:45</t>
  </si>
  <si>
    <t>2026-06-09T10:00</t>
  </si>
  <si>
    <t>2026-06-09T10:15</t>
  </si>
  <si>
    <t>2026-06-09T10:30</t>
  </si>
  <si>
    <t>2026-06-09T10:45</t>
  </si>
  <si>
    <t>2026-06-09T11:00</t>
  </si>
  <si>
    <t>2026-06-09T11:15</t>
  </si>
  <si>
    <t>2026-06-09T11:30</t>
  </si>
  <si>
    <t>2026-06-09T11:45</t>
  </si>
  <si>
    <t>2026-06-09T12:00</t>
  </si>
  <si>
    <t>2026-06-09T12:15</t>
  </si>
  <si>
    <t>2026-06-09T12:30</t>
  </si>
  <si>
    <t>2026-06-09T12:45</t>
  </si>
  <si>
    <t>2026-06-09T13:00</t>
  </si>
  <si>
    <t>2026-06-09T13:15</t>
  </si>
  <si>
    <t>2026-06-09T13:30</t>
  </si>
  <si>
    <t>2026-06-09T13:45</t>
  </si>
  <si>
    <t>2026-06-09T14:00</t>
  </si>
  <si>
    <t>2026-06-09T14:15</t>
  </si>
  <si>
    <t>2026-06-09T14:30</t>
  </si>
  <si>
    <t>2026-06-09T14:45</t>
  </si>
  <si>
    <t>2026-06-09T15:00</t>
  </si>
  <si>
    <t>2026-06-09T15:15</t>
  </si>
  <si>
    <t>2026-06-10T09:15</t>
  </si>
  <si>
    <t>2026-06-10T09:30</t>
  </si>
  <si>
    <t>2026-06-10T09:45</t>
  </si>
  <si>
    <t>2026-06-10T10:00</t>
  </si>
  <si>
    <t>2026-06-10T10:15</t>
  </si>
  <si>
    <t>2026-06-10T10:30</t>
  </si>
  <si>
    <t>2026-06-10T10:45</t>
  </si>
  <si>
    <t>2026-06-10T11:00</t>
  </si>
  <si>
    <t>2026-06-10T11:15</t>
  </si>
  <si>
    <t>2026-06-10T11:30</t>
  </si>
  <si>
    <t>2026-06-10T11:45</t>
  </si>
  <si>
    <t>2026-06-10T12:00</t>
  </si>
  <si>
    <t>2026-06-10T12:15</t>
  </si>
  <si>
    <t>2026-06-10T12:30</t>
  </si>
  <si>
    <t>2026-06-10T12:45</t>
  </si>
  <si>
    <t>2026-06-10T13:00</t>
  </si>
  <si>
    <t>2026-06-10T13:15</t>
  </si>
  <si>
    <t>2026-06-10T13:30</t>
  </si>
  <si>
    <t>2026-06-10T13:45</t>
  </si>
  <si>
    <t>2026-06-10T14:00</t>
  </si>
  <si>
    <t>2026-06-10T14:15</t>
  </si>
  <si>
    <t>2026-06-10T14:30</t>
  </si>
  <si>
    <t>2026-06-10T14:45</t>
  </si>
  <si>
    <t>2026-06-10T15:00</t>
  </si>
  <si>
    <t>2026-06-10T15:15</t>
  </si>
  <si>
    <t>2026-06-11T09:15</t>
  </si>
  <si>
    <t>2026-06-11T09:30</t>
  </si>
  <si>
    <t>2026-06-11T09:45</t>
  </si>
  <si>
    <t>2026-06-11T10:00</t>
  </si>
  <si>
    <t>2026-06-11T10:15</t>
  </si>
  <si>
    <t>2026-06-11T10:30</t>
  </si>
  <si>
    <t>2026-06-11T10:45</t>
  </si>
  <si>
    <t>2026-06-11T11:00</t>
  </si>
  <si>
    <t>2026-06-11T11:15</t>
  </si>
  <si>
    <t>2026-06-11T11:30</t>
  </si>
  <si>
    <t>2026-06-11T11:45</t>
  </si>
  <si>
    <t>2026-06-11T12:00</t>
  </si>
  <si>
    <t>2026-06-11T12:15</t>
  </si>
  <si>
    <t>2026-06-11T12:30</t>
  </si>
  <si>
    <t>2026-06-11T12:45</t>
  </si>
  <si>
    <t>2026-06-11T13:00</t>
  </si>
  <si>
    <t>2026-06-11T13:15</t>
  </si>
  <si>
    <t>2026-06-11T13:30</t>
  </si>
  <si>
    <t>2026-06-11T13:45</t>
  </si>
  <si>
    <t>2026-06-11T14:00</t>
  </si>
  <si>
    <t>2026-06-11T14:15</t>
  </si>
  <si>
    <t>2026-06-11T14:30</t>
  </si>
  <si>
    <t>2026-06-11T14:45</t>
  </si>
  <si>
    <t>2026-06-11T15:00</t>
  </si>
  <si>
    <t>2026-06-11T15:15</t>
  </si>
  <si>
    <t>2026-06-12T09:15</t>
  </si>
  <si>
    <t>2026-06-12T09:30</t>
  </si>
  <si>
    <t>2026-06-12T09:45</t>
  </si>
  <si>
    <t>2026-06-12T10:00</t>
  </si>
  <si>
    <t>2026-06-12T10:15</t>
  </si>
  <si>
    <t>2026-06-12T10:30</t>
  </si>
  <si>
    <t>2026-06-12T10:45</t>
  </si>
  <si>
    <t>2026-06-12T11:00</t>
  </si>
  <si>
    <t>2026-06-12T11:15</t>
  </si>
  <si>
    <t>2026-06-12T11:30</t>
  </si>
  <si>
    <t>2026-06-12T11:45</t>
  </si>
  <si>
    <t>2026-06-12T12:00</t>
  </si>
  <si>
    <t>2026-06-12T12:15</t>
  </si>
  <si>
    <t>2026-06-12T12:30</t>
  </si>
  <si>
    <t>2026-06-12T12:45</t>
  </si>
  <si>
    <t>2026-06-12T13:00</t>
  </si>
  <si>
    <t>2026-06-12T13:15</t>
  </si>
  <si>
    <t>2026-06-12T13:30</t>
  </si>
  <si>
    <t>2026-06-12T13:45</t>
  </si>
  <si>
    <t>2026-06-12T14:00</t>
  </si>
  <si>
    <t>2026-06-12T14:15</t>
  </si>
  <si>
    <t>2026-06-12T14:30</t>
  </si>
  <si>
    <t>2026-06-12T14:45</t>
  </si>
  <si>
    <t>2026-06-12T15:00</t>
  </si>
  <si>
    <t>2026-06-12T15:15</t>
  </si>
  <si>
    <t>2026-06-15T09:15</t>
  </si>
  <si>
    <t>2026-06-15T09:30</t>
  </si>
  <si>
    <t>2026-06-15T09:45</t>
  </si>
  <si>
    <t>2026-06-15T10:00</t>
  </si>
  <si>
    <t>2026-06-15T10:15</t>
  </si>
  <si>
    <t>2026-06-15T10:30</t>
  </si>
  <si>
    <t>2026-06-15T10:45</t>
  </si>
  <si>
    <t>2026-06-15T11:00</t>
  </si>
  <si>
    <t>2026-06-15T11:15</t>
  </si>
  <si>
    <t>2026-06-15T11:30</t>
  </si>
  <si>
    <t>2026-06-15T11:45</t>
  </si>
  <si>
    <t>2026-06-15T12:00</t>
  </si>
  <si>
    <t>2026-06-15T12:15</t>
  </si>
  <si>
    <t>2026-06-15T12:30</t>
  </si>
  <si>
    <t>2026-06-15T12:45</t>
  </si>
  <si>
    <t>2026-06-15T13:00</t>
  </si>
  <si>
    <t>2026-06-15T13:15</t>
  </si>
  <si>
    <t>2026-06-15T13:30</t>
  </si>
  <si>
    <t>2026-06-15T13:45</t>
  </si>
  <si>
    <t>2026-06-15T14:00</t>
  </si>
  <si>
    <t>2026-06-15T14:15</t>
  </si>
  <si>
    <t>2026-06-15T14:30</t>
  </si>
  <si>
    <t>2026-06-15T14:45</t>
  </si>
  <si>
    <t>2026-06-15T15:00</t>
  </si>
  <si>
    <t>2026-06-15T15:15</t>
  </si>
  <si>
    <t>2026-06-16T09:15</t>
  </si>
  <si>
    <t>2026-06-16T09:30</t>
  </si>
  <si>
    <t>2026-06-16T09:45</t>
  </si>
  <si>
    <t>2026-06-16T10:00</t>
  </si>
  <si>
    <t>2026-06-16T10:15</t>
  </si>
  <si>
    <t>2026-06-16T10:30</t>
  </si>
  <si>
    <t>2026-06-16T10:45</t>
  </si>
  <si>
    <t>2026-06-16T11:00</t>
  </si>
  <si>
    <t>2026-06-16T11:15</t>
  </si>
  <si>
    <t>2026-06-16T11:30</t>
  </si>
  <si>
    <t>2026-06-16T11:45</t>
  </si>
  <si>
    <t>2026-06-16T12:00</t>
  </si>
  <si>
    <t>2026-06-16T12:15</t>
  </si>
  <si>
    <t>2026-06-16T12:30</t>
  </si>
  <si>
    <t>2026-06-16T12:45</t>
  </si>
  <si>
    <t>2026-06-16T13:00</t>
  </si>
  <si>
    <t>2026-06-16T13:15</t>
  </si>
  <si>
    <t>2026-06-16T13:30</t>
  </si>
  <si>
    <t>2026-06-16T13:45</t>
  </si>
  <si>
    <t>2026-06-16T14:00</t>
  </si>
  <si>
    <t>2026-06-16T14:15</t>
  </si>
  <si>
    <t>2026-06-16T14:30</t>
  </si>
  <si>
    <t>2026-06-16T14:45</t>
  </si>
  <si>
    <t>2026-06-16T15:00</t>
  </si>
  <si>
    <t>2026-06-16T15:15</t>
  </si>
  <si>
    <t>2026-06-17T09:15</t>
  </si>
  <si>
    <t>2026-06-17T09:30</t>
  </si>
  <si>
    <t>2026-06-17T09:45</t>
  </si>
  <si>
    <t>2026-06-17T10:00</t>
  </si>
  <si>
    <t>2026-06-17T10:15</t>
  </si>
  <si>
    <t>2026-06-17T10:30</t>
  </si>
  <si>
    <t>2026-06-17T10:45</t>
  </si>
  <si>
    <t>2026-06-17T11:00</t>
  </si>
  <si>
    <t>2026-06-17T11:15</t>
  </si>
  <si>
    <t>2026-06-17T11:30</t>
  </si>
  <si>
    <t>2026-06-17T11:45</t>
  </si>
  <si>
    <t>2026-06-17T12:00</t>
  </si>
  <si>
    <t>2026-06-17T12:15</t>
  </si>
  <si>
    <t>2026-06-17T12:30</t>
  </si>
  <si>
    <t>2026-06-17T12:45</t>
  </si>
  <si>
    <t>2026-06-17T13:00</t>
  </si>
  <si>
    <t>2026-06-17T13:15</t>
  </si>
  <si>
    <t>2026-06-17T13:30</t>
  </si>
  <si>
    <t>2026-06-17T13:45</t>
  </si>
  <si>
    <t>2026-06-17T14:00</t>
  </si>
  <si>
    <t>2026-06-17T14:15</t>
  </si>
  <si>
    <t>2026-06-17T14:30</t>
  </si>
  <si>
    <t>2026-06-17T14:45</t>
  </si>
  <si>
    <t>2026-06-17T15:00</t>
  </si>
  <si>
    <t>2026-06-17T15:15</t>
  </si>
  <si>
    <t>2026-06-18T09:15</t>
  </si>
  <si>
    <t>2026-06-18T09:30</t>
  </si>
  <si>
    <t>2026-06-18T09:45</t>
  </si>
  <si>
    <t>2026-06-18T10:00</t>
  </si>
  <si>
    <t>2026-06-18T10:15</t>
  </si>
  <si>
    <t>2026-06-18T10:30</t>
  </si>
  <si>
    <t>2026-06-18T10:45</t>
  </si>
  <si>
    <t>2026-06-18T11:00</t>
  </si>
  <si>
    <t>2026-06-18T11:15</t>
  </si>
  <si>
    <t>2026-06-18T11:30</t>
  </si>
  <si>
    <t>2026-06-18T11:45</t>
  </si>
  <si>
    <t>2026-06-18T12:00</t>
  </si>
  <si>
    <t>2026-06-18T12:15</t>
  </si>
  <si>
    <t>2026-06-18T12:30</t>
  </si>
  <si>
    <t>2026-06-18T12:45</t>
  </si>
  <si>
    <t>2026-06-18T13:00</t>
  </si>
  <si>
    <t>2026-06-18T13:15</t>
  </si>
  <si>
    <t>2026-06-18T13:30</t>
  </si>
  <si>
    <t>2026-06-18T13:45</t>
  </si>
  <si>
    <t>2026-06-18T14:00</t>
  </si>
  <si>
    <t>2026-06-18T14:15</t>
  </si>
  <si>
    <t>2026-06-18T14:30</t>
  </si>
  <si>
    <t>2026-06-18T14:45</t>
  </si>
  <si>
    <t>2026-06-18T15:00</t>
  </si>
  <si>
    <t>2026-06-18T15:15</t>
  </si>
  <si>
    <t>2026-06-19T09:15</t>
  </si>
  <si>
    <t>2026-06-19T09:30</t>
  </si>
  <si>
    <t>2026-06-19T09:45</t>
  </si>
  <si>
    <t>2026-06-19T10:00</t>
  </si>
  <si>
    <t>2026-06-19T10:15</t>
  </si>
  <si>
    <t>2026-06-19T10:30</t>
  </si>
  <si>
    <t>2026-06-19T10:45</t>
  </si>
  <si>
    <t>2026-06-19T11:00</t>
  </si>
  <si>
    <t>2026-06-19T11:15</t>
  </si>
  <si>
    <t>2026-06-19T11:30</t>
  </si>
  <si>
    <t>2026-06-19T11:45</t>
  </si>
  <si>
    <t>2026-06-19T12:00</t>
  </si>
  <si>
    <t>2026-06-19T12:15</t>
  </si>
  <si>
    <t>2026-06-19T12:30</t>
  </si>
  <si>
    <t>2026-06-19T12:45</t>
  </si>
  <si>
    <t>2026-06-19T13:00</t>
  </si>
  <si>
    <t>2026-06-19T13:15</t>
  </si>
  <si>
    <t>2026-06-19T13:30</t>
  </si>
  <si>
    <t>2026-06-19T13:45</t>
  </si>
  <si>
    <t>2026-06-19T14:00</t>
  </si>
  <si>
    <t>2026-06-19T14:15</t>
  </si>
  <si>
    <t>2026-06-19T14:30</t>
  </si>
  <si>
    <t>2026-06-19T14:45</t>
  </si>
  <si>
    <t>2026-06-19T15:00</t>
  </si>
  <si>
    <t>2026-06-19T15:15</t>
  </si>
  <si>
    <t>2026-06-22T09:15</t>
  </si>
  <si>
    <t>2026-06-22T09:30</t>
  </si>
  <si>
    <t>2026-06-22T09:45</t>
  </si>
  <si>
    <t>2026-06-22T10:00</t>
  </si>
  <si>
    <t>2026-06-22T10:15</t>
  </si>
  <si>
    <t>2026-06-22T10:30</t>
  </si>
  <si>
    <t>2026-06-22T10:45</t>
  </si>
  <si>
    <t>2026-06-22T11:00</t>
  </si>
  <si>
    <t>2026-06-22T11:15</t>
  </si>
  <si>
    <t>2026-06-22T11:30</t>
  </si>
  <si>
    <t>2026-06-22T11:45</t>
  </si>
  <si>
    <t>2026-06-22T12:00</t>
  </si>
  <si>
    <t>2026-06-22T12:15</t>
  </si>
  <si>
    <t>2026-06-22T12:30</t>
  </si>
  <si>
    <t>2026-06-22T12:45</t>
  </si>
  <si>
    <t>2026-06-22T13:00</t>
  </si>
  <si>
    <t>2026-06-22T13:15</t>
  </si>
  <si>
    <t>2026-06-22T13:30</t>
  </si>
  <si>
    <t>2026-06-22T13:45</t>
  </si>
  <si>
    <t>2026-06-22T14:00</t>
  </si>
  <si>
    <t>2026-06-22T14:15</t>
  </si>
  <si>
    <t>2026-06-22T14:30</t>
  </si>
  <si>
    <t>2026-06-22T14:45</t>
  </si>
  <si>
    <t>2026-06-22T15:00</t>
  </si>
  <si>
    <t>2026-06-22T15:15</t>
  </si>
  <si>
    <t>2026-06-23T09:15</t>
  </si>
  <si>
    <t>2026-06-23T09:30</t>
  </si>
  <si>
    <t>2026-06-23T09:45</t>
  </si>
  <si>
    <t>2026-06-23T10:00</t>
  </si>
  <si>
    <t>2026-06-23T10:15</t>
  </si>
  <si>
    <t>2026-06-23T10:30</t>
  </si>
  <si>
    <t>2026-06-23T10:45</t>
  </si>
  <si>
    <t>2026-06-23T11:00</t>
  </si>
  <si>
    <t>2026-06-23T11:15</t>
  </si>
  <si>
    <t>2026-06-23T11:30</t>
  </si>
  <si>
    <t>2026-06-23T11:45</t>
  </si>
  <si>
    <t>2026-06-23T12:00</t>
  </si>
  <si>
    <t>2026-06-23T12:15</t>
  </si>
  <si>
    <t>2026-06-23T12:30</t>
  </si>
  <si>
    <t>2026-06-23T12:45</t>
  </si>
  <si>
    <t>2026-06-23T13:00</t>
  </si>
  <si>
    <t>2026-06-23T13:15</t>
  </si>
  <si>
    <t>2026-06-23T13:30</t>
  </si>
  <si>
    <t>2026-06-23T13:45</t>
  </si>
  <si>
    <t>2026-06-23T14:00</t>
  </si>
  <si>
    <t>2026-06-23T14:15</t>
  </si>
  <si>
    <t>2026-06-23T14:30</t>
  </si>
  <si>
    <t>2026-06-23T14:45</t>
  </si>
  <si>
    <t>2026-06-23T15:00</t>
  </si>
  <si>
    <t>2026-06-23T15:15</t>
  </si>
  <si>
    <t>2026-06-24T09:15</t>
  </si>
  <si>
    <t>2026-06-24T09:30</t>
  </si>
  <si>
    <t>2026-06-24T09:45</t>
  </si>
  <si>
    <t>2026-06-24T10:00</t>
  </si>
  <si>
    <t>2026-06-24T10:15</t>
  </si>
  <si>
    <t>2026-06-24T10:30</t>
  </si>
  <si>
    <t>2026-06-24T10:45</t>
  </si>
  <si>
    <t>2026-06-24T11:00</t>
  </si>
  <si>
    <t>2026-06-24T11:15</t>
  </si>
  <si>
    <t>2026-06-24T11:30</t>
  </si>
  <si>
    <t>2026-06-24T11:45</t>
  </si>
  <si>
    <t>2026-06-24T12:00</t>
  </si>
  <si>
    <t>2026-06-24T12:15</t>
  </si>
  <si>
    <t>2026-06-24T12:30</t>
  </si>
  <si>
    <t>2026-06-24T12:45</t>
  </si>
  <si>
    <t>2026-06-24T13:00</t>
  </si>
  <si>
    <t>2026-06-24T13:15</t>
  </si>
  <si>
    <t>2026-06-24T13:30</t>
  </si>
  <si>
    <t>2026-06-24T13:45</t>
  </si>
  <si>
    <t>2026-06-24T14:00</t>
  </si>
  <si>
    <t>2026-06-24T14:15</t>
  </si>
  <si>
    <t>2026-06-24T14:30</t>
  </si>
  <si>
    <t>2026-06-24T14:45</t>
  </si>
  <si>
    <t>2026-06-24T15:00</t>
  </si>
  <si>
    <t>2026-06-24T15:15</t>
  </si>
  <si>
    <t>2026-06-25T09:15</t>
  </si>
  <si>
    <t>2026-06-25T09:30</t>
  </si>
  <si>
    <t>2026-06-25T09:45</t>
  </si>
  <si>
    <t>2026-06-25T10:00</t>
  </si>
  <si>
    <t>2026-06-25T10:15</t>
  </si>
  <si>
    <t>2026-06-25T10:30</t>
  </si>
  <si>
    <t>2026-06-25T10:45</t>
  </si>
  <si>
    <t>2026-06-25T11:00</t>
  </si>
  <si>
    <t>2026-06-25T11:15</t>
  </si>
  <si>
    <t>2026-06-25T11:30</t>
  </si>
  <si>
    <t>2026-06-25T11:45</t>
  </si>
  <si>
    <t>2026-06-25T12:00</t>
  </si>
  <si>
    <t>2026-06-25T12:15</t>
  </si>
  <si>
    <t>2026-06-25T12:30</t>
  </si>
  <si>
    <t>2026-06-25T12:45</t>
  </si>
  <si>
    <t>2026-06-25T13:00</t>
  </si>
  <si>
    <t>2026-06-25T13:15</t>
  </si>
  <si>
    <t>2026-06-25T13:30</t>
  </si>
  <si>
    <t>2026-06-25T13:45</t>
  </si>
  <si>
    <t>2026-06-25T14:00</t>
  </si>
  <si>
    <t>2026-06-25T14:15</t>
  </si>
  <si>
    <t>2026-06-25T14:30</t>
  </si>
  <si>
    <t>2026-06-25T14:45</t>
  </si>
  <si>
    <t>2026-06-25T15:00</t>
  </si>
  <si>
    <t>2026-06-25T15:15</t>
  </si>
  <si>
    <t>2026-06-29T09:15</t>
  </si>
  <si>
    <t>2026-06-29T09:30</t>
  </si>
  <si>
    <t>2026-06-29T09:45</t>
  </si>
  <si>
    <t>2026-06-29T10:00</t>
  </si>
  <si>
    <t>2026-06-29T10:15</t>
  </si>
  <si>
    <t>2026-06-29T10:30</t>
  </si>
  <si>
    <t>2026-06-29T10:45</t>
  </si>
  <si>
    <t>2026-06-29T11:00</t>
  </si>
  <si>
    <t>2026-06-29T11:15</t>
  </si>
  <si>
    <t>2026-06-29T11:30</t>
  </si>
  <si>
    <t>2026-06-29T11:45</t>
  </si>
  <si>
    <t>2026-06-29T12:00</t>
  </si>
  <si>
    <t>2026-06-29T12:15</t>
  </si>
  <si>
    <t>2026-06-29T12:30</t>
  </si>
  <si>
    <t>2026-06-29T12:45</t>
  </si>
  <si>
    <t>2026-06-29T13:00</t>
  </si>
  <si>
    <t>2026-06-29T13:15</t>
  </si>
  <si>
    <t>2026-06-29T13:30</t>
  </si>
  <si>
    <t>2026-06-29T13:45</t>
  </si>
  <si>
    <t>2026-06-29T14:00</t>
  </si>
  <si>
    <t>2026-06-29T14:15</t>
  </si>
  <si>
    <t>2026-06-29T14:30</t>
  </si>
  <si>
    <t>2026-06-29T14:45</t>
  </si>
  <si>
    <t>2026-06-29T15:00</t>
  </si>
  <si>
    <t>2026-06-29T15:15</t>
  </si>
  <si>
    <t>2026-06-30T09:15</t>
  </si>
  <si>
    <t>2026-06-30T09:30</t>
  </si>
  <si>
    <t>2026-06-30T09:45</t>
  </si>
  <si>
    <t>2026-06-30T10:00</t>
  </si>
  <si>
    <t>2026-06-30T10:15</t>
  </si>
  <si>
    <t>2026-06-30T10:30</t>
  </si>
  <si>
    <t>2026-06-30T10:45</t>
  </si>
  <si>
    <t>2026-06-30T11:00</t>
  </si>
  <si>
    <t>2026-06-30T11:15</t>
  </si>
  <si>
    <t>2026-06-30T11:30</t>
  </si>
  <si>
    <t>2026-06-30T11:45</t>
  </si>
  <si>
    <t>2026-06-30T12:00</t>
  </si>
  <si>
    <t>2026-06-30T12:15</t>
  </si>
  <si>
    <t>2026-06-30T12:30</t>
  </si>
  <si>
    <t>2026-06-30T12:45</t>
  </si>
  <si>
    <t>2026-06-30T13:00</t>
  </si>
  <si>
    <t>2026-06-30T13:15</t>
  </si>
  <si>
    <t>2026-06-30T13:30</t>
  </si>
  <si>
    <t>2026-06-30T13:45</t>
  </si>
  <si>
    <t>2026-06-30T14:00</t>
  </si>
  <si>
    <t>2026-06-30T14:15</t>
  </si>
  <si>
    <t>2026-06-30T14:30</t>
  </si>
  <si>
    <t>2026-06-30T14:45</t>
  </si>
  <si>
    <t>2026-06-30T15:00</t>
  </si>
  <si>
    <t>2026-06-30T15:15</t>
  </si>
  <si>
    <t>2026-07-01T09:15</t>
  </si>
  <si>
    <t>2026-07-01T09:30</t>
  </si>
  <si>
    <t>2026-07-01T09:45</t>
  </si>
  <si>
    <t>2026-07-01T10:00</t>
  </si>
  <si>
    <t>2026-07-01T10:15</t>
  </si>
  <si>
    <t>2026-07-01T10:30</t>
  </si>
  <si>
    <t>2026-07-01T10:45</t>
  </si>
  <si>
    <t>2026-07-01T11:00</t>
  </si>
  <si>
    <t>2026-07-01T11:15</t>
  </si>
  <si>
    <t>2026-07-01T11:30</t>
  </si>
  <si>
    <t>2026-07-01T11:45</t>
  </si>
  <si>
    <t>2026-07-01T12:00</t>
  </si>
  <si>
    <t>2026-07-01T12:15</t>
  </si>
  <si>
    <t>2026-07-01T12:30</t>
  </si>
  <si>
    <t>2026-07-01T12:45</t>
  </si>
  <si>
    <t>2026-07-01T13:00</t>
  </si>
  <si>
    <t>2026-07-01T13:15</t>
  </si>
  <si>
    <t>2026-07-01T13:30</t>
  </si>
  <si>
    <t>2026-07-01T13:45</t>
  </si>
  <si>
    <t>2026-07-01T14:00</t>
  </si>
  <si>
    <t>2026-07-01T14:15</t>
  </si>
  <si>
    <t>2026-07-01T14:30</t>
  </si>
  <si>
    <t>2026-07-01T14:45</t>
  </si>
  <si>
    <t>2026-07-01T15:00</t>
  </si>
  <si>
    <t>2026-07-01T15:15</t>
  </si>
  <si>
    <t>2026-07-02T09:15</t>
  </si>
  <si>
    <t>2026-07-02T09:30</t>
  </si>
  <si>
    <t>2026-07-02T09:45</t>
  </si>
  <si>
    <t>2026-07-02T10:00</t>
  </si>
  <si>
    <t>2026-07-02T10:15</t>
  </si>
  <si>
    <t>2026-07-02T10:30</t>
  </si>
  <si>
    <t>2026-07-02T10:45</t>
  </si>
  <si>
    <t>2026-07-02T11:00</t>
  </si>
  <si>
    <t>2026-07-02T11:15</t>
  </si>
  <si>
    <t>2026-07-02T11:30</t>
  </si>
  <si>
    <t>2026-07-02T11:45</t>
  </si>
  <si>
    <t>2026-07-02T12:00</t>
  </si>
  <si>
    <t>2026-07-02T12:15</t>
  </si>
  <si>
    <t>2026-07-02T12:30</t>
  </si>
  <si>
    <t>2026-07-02T12:45</t>
  </si>
  <si>
    <t>2026-07-02T13:00</t>
  </si>
  <si>
    <t>2026-07-02T13:15</t>
  </si>
  <si>
    <t>2026-07-02T13:30</t>
  </si>
  <si>
    <t>2026-07-02T13:45</t>
  </si>
  <si>
    <t>2026-07-02T14:00</t>
  </si>
  <si>
    <t>2026-07-02T14:15</t>
  </si>
  <si>
    <t>2026-07-02T14:30</t>
  </si>
  <si>
    <t>2026-07-02T14:45</t>
  </si>
  <si>
    <t>2026-07-02T15:00</t>
  </si>
  <si>
    <t>2026-07-02T15:15</t>
  </si>
  <si>
    <t>2026-07-03T09:15</t>
  </si>
  <si>
    <t>2026-07-03T09:30</t>
  </si>
  <si>
    <t>2026-07-03T09:45</t>
  </si>
  <si>
    <t>2026-07-03T10:00</t>
  </si>
  <si>
    <t>2026-07-03T10:15</t>
  </si>
  <si>
    <t>2026-07-03T10:30</t>
  </si>
  <si>
    <t>2026-07-03T10:45</t>
  </si>
  <si>
    <t>2026-07-03T11:00</t>
  </si>
  <si>
    <t>2026-07-03T11:15</t>
  </si>
  <si>
    <t>2026-07-03T11:30</t>
  </si>
  <si>
    <t>2026-07-03T11:45</t>
  </si>
  <si>
    <t>2026-07-03T12:00</t>
  </si>
  <si>
    <t>2026-07-03T12:15</t>
  </si>
  <si>
    <t>2026-07-03T12:30</t>
  </si>
  <si>
    <t>2026-07-03T12:45</t>
  </si>
  <si>
    <t>2026-07-03T13:00</t>
  </si>
  <si>
    <t>2026-07-03T13:15</t>
  </si>
  <si>
    <t>2026-07-03T13:30</t>
  </si>
  <si>
    <t>2026-07-03T13:45</t>
  </si>
  <si>
    <t>2026-07-03T14:00</t>
  </si>
  <si>
    <t>2026-07-03T14:15</t>
  </si>
  <si>
    <t>2026-07-03T14:30</t>
  </si>
  <si>
    <t>2026-07-03T14:45</t>
  </si>
  <si>
    <t>2026-07-03T15:00</t>
  </si>
  <si>
    <t>2026-07-03T15:15</t>
  </si>
  <si>
    <t>2026-07-06T09:15</t>
  </si>
  <si>
    <t>2026-07-06T09:30</t>
  </si>
  <si>
    <t>2026-07-06T09:45</t>
  </si>
  <si>
    <t>2026-07-06T10:00</t>
  </si>
  <si>
    <t>2026-07-06T10:15</t>
  </si>
  <si>
    <t>2026-07-06T10:30</t>
  </si>
  <si>
    <t>2026-07-06T10:45</t>
  </si>
  <si>
    <t>2026-07-06T11:00</t>
  </si>
  <si>
    <t>2026-07-06T11:15</t>
  </si>
  <si>
    <t>2026-07-06T11:30</t>
  </si>
  <si>
    <t>2026-07-06T11:45</t>
  </si>
  <si>
    <t>2026-07-06T12:00</t>
  </si>
  <si>
    <t>2026-07-06T12:15</t>
  </si>
  <si>
    <t>2026-07-06T12:30</t>
  </si>
  <si>
    <t>2026-07-06T12:45</t>
  </si>
  <si>
    <t>2026-07-06T13:00</t>
  </si>
  <si>
    <t>2026-07-06T13:15</t>
  </si>
  <si>
    <t>2026-07-06T13:30</t>
  </si>
  <si>
    <t>2026-07-06T13:45</t>
  </si>
  <si>
    <t>2026-07-06T14:00</t>
  </si>
  <si>
    <t>2026-07-06T14:15</t>
  </si>
  <si>
    <t>2026-07-06T14:30</t>
  </si>
  <si>
    <t>2026-07-06T14:45</t>
  </si>
  <si>
    <t>2026-07-06T15:00</t>
  </si>
  <si>
    <t>2026-07-06T15:15</t>
  </si>
  <si>
    <t>2026-07-07T09:15</t>
  </si>
  <si>
    <t>2026-07-07T09:30</t>
  </si>
  <si>
    <t>2026-07-07T09:45</t>
  </si>
  <si>
    <t>2026-07-07T10:00</t>
  </si>
  <si>
    <t>2026-07-07T10:15</t>
  </si>
  <si>
    <t>2026-07-07T10:30</t>
  </si>
  <si>
    <t>2026-07-07T10:45</t>
  </si>
  <si>
    <t>2026-07-07T11:00</t>
  </si>
  <si>
    <t>2026-07-07T11:15</t>
  </si>
  <si>
    <t>2026-07-07T11:30</t>
  </si>
  <si>
    <t>2026-07-07T11:45</t>
  </si>
  <si>
    <t>2026-07-07T12:00</t>
  </si>
  <si>
    <t>2026-07-07T12:15</t>
  </si>
  <si>
    <t>2026-07-07T12:30</t>
  </si>
  <si>
    <t>2026-07-07T12:45</t>
  </si>
  <si>
    <t>2026-07-07T13:00</t>
  </si>
  <si>
    <t>2026-07-07T13:15</t>
  </si>
  <si>
    <t>2026-07-07T13:30</t>
  </si>
  <si>
    <t>2026-07-07T13:45</t>
  </si>
  <si>
    <t>2026-07-07T14:00</t>
  </si>
  <si>
    <t>2026-07-07T14:15</t>
  </si>
  <si>
    <t>2026-07-07T14:30</t>
  </si>
  <si>
    <t>2026-07-07T14:45</t>
  </si>
  <si>
    <t>2026-07-07T15:00</t>
  </si>
  <si>
    <t>2026-07-07T15:15</t>
  </si>
  <si>
    <t>2026-07-08T09:15</t>
  </si>
  <si>
    <t>2026-07-08T09:30</t>
  </si>
  <si>
    <t>2026-07-08T09:45</t>
  </si>
  <si>
    <t>2026-07-08T10:00</t>
  </si>
  <si>
    <t>2026-07-08T10:15</t>
  </si>
  <si>
    <t>2026-07-08T10:30</t>
  </si>
  <si>
    <t>2026-07-08T10:45</t>
  </si>
  <si>
    <t>2026-07-08T11:00</t>
  </si>
  <si>
    <t>2026-07-08T11:15</t>
  </si>
  <si>
    <t>2026-07-08T11:30</t>
  </si>
  <si>
    <t>2026-07-08T11:45</t>
  </si>
  <si>
    <t>2026-07-08T12:00</t>
  </si>
  <si>
    <t>2026-07-08T12:15</t>
  </si>
  <si>
    <t>2026-07-08T12:30</t>
  </si>
  <si>
    <t>2026-07-08T12:45</t>
  </si>
  <si>
    <t>2026-07-08T13:00</t>
  </si>
  <si>
    <t>2026-07-08T13:15</t>
  </si>
  <si>
    <t>2026-07-08T13:30</t>
  </si>
  <si>
    <t>2026-07-08T13:45</t>
  </si>
  <si>
    <t>2026-07-08T14:00</t>
  </si>
  <si>
    <t>2026-07-08T14:15</t>
  </si>
  <si>
    <t>2026-07-08T14:30</t>
  </si>
  <si>
    <t>2026-07-08T14:45</t>
  </si>
  <si>
    <t>2026-07-08T15:00</t>
  </si>
  <si>
    <t>2026-07-08T15:15</t>
  </si>
  <si>
    <t>2026-07-09T09:15</t>
  </si>
  <si>
    <t>2026-07-09T09:30</t>
  </si>
  <si>
    <t>2026-07-09T09:45</t>
  </si>
  <si>
    <t>2026-07-09T10:00</t>
  </si>
  <si>
    <t>2026-07-09T10:15</t>
  </si>
  <si>
    <t>2026-07-09T10:30</t>
  </si>
  <si>
    <t>2026-07-09T10:45</t>
  </si>
  <si>
    <t>2026-07-09T11:00</t>
  </si>
  <si>
    <t>2026-07-09T11:15</t>
  </si>
  <si>
    <t>2026-07-09T11:30</t>
  </si>
  <si>
    <t>2026-07-09T11:45</t>
  </si>
  <si>
    <t>2026-07-09T12:00</t>
  </si>
  <si>
    <t>2026-07-09T12:15</t>
  </si>
  <si>
    <t>2026-07-09T12:30</t>
  </si>
  <si>
    <t>2026-07-09T12:45</t>
  </si>
  <si>
    <t>2026-07-09T13:00</t>
  </si>
  <si>
    <t>2026-07-09T13:15</t>
  </si>
  <si>
    <t>2026-07-09T13:30</t>
  </si>
  <si>
    <t>2026-07-09T13:45</t>
  </si>
  <si>
    <t>2026-07-09T14:00</t>
  </si>
  <si>
    <t>2026-07-09T14:15</t>
  </si>
  <si>
    <t>2026-07-09T14:30</t>
  </si>
  <si>
    <t>2026-07-09T14:45</t>
  </si>
  <si>
    <t>2026-07-09T15:00</t>
  </si>
  <si>
    <t>2026-07-09T15:15</t>
  </si>
  <si>
    <t>2026-07-10T09:15</t>
  </si>
  <si>
    <t>2026-07-10T09:30</t>
  </si>
  <si>
    <t>2026-07-10T09:45</t>
  </si>
  <si>
    <t>2026-07-10T10:00</t>
  </si>
  <si>
    <t>2026-07-10T10:15</t>
  </si>
  <si>
    <t>2026-07-10T10:30</t>
  </si>
  <si>
    <t>2026-07-10T10:45</t>
  </si>
  <si>
    <t>2026-07-10T11:00</t>
  </si>
  <si>
    <t>2026-07-10T11:15</t>
  </si>
  <si>
    <t>2026-07-10T11:30</t>
  </si>
  <si>
    <t>2026-07-10T11:45</t>
  </si>
  <si>
    <t>2026-07-10T12:00</t>
  </si>
  <si>
    <t>2026-07-10T12:15</t>
  </si>
  <si>
    <t>2026-07-10T12:30</t>
  </si>
  <si>
    <t>2026-07-10T12:45</t>
  </si>
  <si>
    <t>2026-07-10T13:00</t>
  </si>
  <si>
    <t>2026-07-10T13:15</t>
  </si>
  <si>
    <t>2026-07-10T13:30</t>
  </si>
  <si>
    <t>2026-07-10T13:45</t>
  </si>
  <si>
    <t>2026-07-10T14:00</t>
  </si>
  <si>
    <t>2026-07-10T14:15</t>
  </si>
  <si>
    <t>2026-07-10T14:30</t>
  </si>
  <si>
    <t>2026-07-10T14:45</t>
  </si>
  <si>
    <t>2026-07-10T15:00</t>
  </si>
  <si>
    <t>2026-07-10T15:15</t>
  </si>
  <si>
    <t>2026-07-13T09:15</t>
  </si>
  <si>
    <t>2026-07-13T09:30</t>
  </si>
  <si>
    <t>2026-07-13T09:45</t>
  </si>
  <si>
    <t>2026-07-13T10:00</t>
  </si>
  <si>
    <t>2026-07-13T10:15</t>
  </si>
  <si>
    <t>2026-07-13T10:30</t>
  </si>
  <si>
    <t>2026-07-13T10:45</t>
  </si>
  <si>
    <t>2026-07-13T11:00</t>
  </si>
  <si>
    <t>2026-07-13T11:15</t>
  </si>
  <si>
    <t>2026-07-13T11:30</t>
  </si>
  <si>
    <t>2026-07-13T11:45</t>
  </si>
  <si>
    <t>2026-07-13T12:00</t>
  </si>
  <si>
    <t>2026-07-13T12:15</t>
  </si>
  <si>
    <t>2026-07-13T12:30</t>
  </si>
  <si>
    <t>2026-07-13T12:45</t>
  </si>
  <si>
    <t>2026-07-13T13:00</t>
  </si>
  <si>
    <t>2026-07-13T13:15</t>
  </si>
  <si>
    <t>2026-07-13T13:30</t>
  </si>
  <si>
    <t>2026-07-13T13:45</t>
  </si>
  <si>
    <t>2026-07-13T14:00</t>
  </si>
  <si>
    <t>2026-07-13T14:15</t>
  </si>
  <si>
    <t>2026-07-13T14:30</t>
  </si>
  <si>
    <t>2026-07-13T14:45</t>
  </si>
  <si>
    <t>2026-07-13T15:00</t>
  </si>
  <si>
    <t>2026-07-13T15:15</t>
  </si>
  <si>
    <t>2026-07-14T09:15</t>
  </si>
  <si>
    <t>2026-07-14T09:30</t>
  </si>
  <si>
    <t>2026-07-14T09:45</t>
  </si>
  <si>
    <t>2026-07-14T10:00</t>
  </si>
  <si>
    <t>2026-07-14T10:15</t>
  </si>
  <si>
    <t>2026-07-14T10:30</t>
  </si>
  <si>
    <t>2026-07-14T10:45</t>
  </si>
  <si>
    <t>2026-07-14T11:00</t>
  </si>
  <si>
    <t>2026-07-14T11:15</t>
  </si>
  <si>
    <t>2026-07-14T11:30</t>
  </si>
  <si>
    <t>2026-07-14T11:45</t>
  </si>
  <si>
    <t>2026-07-14T12:00</t>
  </si>
  <si>
    <t>2026-07-14T12:15</t>
  </si>
  <si>
    <t>2026-07-14T12:30</t>
  </si>
  <si>
    <t>2026-07-14T12:45</t>
  </si>
  <si>
    <t>2026-07-14T13:00</t>
  </si>
  <si>
    <t>2026-07-14T13:15</t>
  </si>
  <si>
    <t>2026-07-14T13:30</t>
  </si>
  <si>
    <t>2026-07-14T13:45</t>
  </si>
  <si>
    <t>2026-07-14T14:00</t>
  </si>
  <si>
    <t>2026-07-14T14:15</t>
  </si>
  <si>
    <t>2026-07-14T14:30</t>
  </si>
  <si>
    <t>2026-07-14T14:45</t>
  </si>
  <si>
    <t>2026-07-14T15:00</t>
  </si>
  <si>
    <t>2026-07-14T15:15</t>
  </si>
  <si>
    <t>2026-07-15T09:15</t>
  </si>
  <si>
    <t>2026-07-15T09:30</t>
  </si>
  <si>
    <t>2026-07-15T09:45</t>
  </si>
  <si>
    <t>2026-07-15T10:00</t>
  </si>
  <si>
    <t>2026-07-15T10:15</t>
  </si>
  <si>
    <t>2026-07-15T10:30</t>
  </si>
  <si>
    <t>2026-07-15T10:45</t>
  </si>
  <si>
    <t>2026-07-15T11:00</t>
  </si>
  <si>
    <t>2026-07-15T11:15</t>
  </si>
  <si>
    <t>2026-07-15T11:30</t>
  </si>
  <si>
    <t>2026-07-15T11:45</t>
  </si>
  <si>
    <t>2026-07-15T12:00</t>
  </si>
  <si>
    <t>2026-07-15T12:15</t>
  </si>
  <si>
    <t>2026-07-15T12:30</t>
  </si>
  <si>
    <t>2026-07-15T12:45</t>
  </si>
  <si>
    <t>2026-07-15T13:00</t>
  </si>
  <si>
    <t>2026-07-15T13:15</t>
  </si>
  <si>
    <t>2026-07-15T13:30</t>
  </si>
  <si>
    <t>2026-07-15T13:45</t>
  </si>
  <si>
    <t>2026-07-15T14:00</t>
  </si>
  <si>
    <t>2026-07-15T14:15</t>
  </si>
  <si>
    <t>2026-07-15T14:30</t>
  </si>
  <si>
    <t>2026-07-15T14:45</t>
  </si>
  <si>
    <t>2026-07-15T15:00</t>
  </si>
  <si>
    <t>2026-07-15T15:15</t>
  </si>
  <si>
    <t>2026-07-16T09:15</t>
  </si>
  <si>
    <t>2026-07-16T09:30</t>
  </si>
  <si>
    <t>2026-07-16T09:45</t>
  </si>
  <si>
    <t>2026-07-16T10:00</t>
  </si>
  <si>
    <t>2026-07-16T10:15</t>
  </si>
  <si>
    <t>2026-07-16T10:30</t>
  </si>
  <si>
    <t>2026-07-16T10:45</t>
  </si>
  <si>
    <t>2026-07-16T11:00</t>
  </si>
  <si>
    <t>2026-07-16T11:15</t>
  </si>
  <si>
    <t>2026-07-16T11:30</t>
  </si>
  <si>
    <t>2026-07-16T11:45</t>
  </si>
  <si>
    <t>2026-07-16T12:00</t>
  </si>
  <si>
    <t>2026-07-16T12:15</t>
  </si>
  <si>
    <t>2026-07-16T12:30</t>
  </si>
  <si>
    <t>2026-07-16T12:45</t>
  </si>
  <si>
    <t>2026-07-16T13:00</t>
  </si>
  <si>
    <t>2026-07-16T13:15</t>
  </si>
  <si>
    <t>2026-07-16T13:30</t>
  </si>
  <si>
    <t>2026-07-16T13:45</t>
  </si>
  <si>
    <t>2026-07-16T14:00</t>
  </si>
  <si>
    <t>2026-07-16T14:15</t>
  </si>
  <si>
    <t>2026-07-16T14:30</t>
  </si>
  <si>
    <t>2026-07-16T14:45</t>
  </si>
  <si>
    <t>2026-07-16T15:00</t>
  </si>
  <si>
    <t>2026-07-16T15:15</t>
  </si>
  <si>
    <t>2026-07-17T09:15</t>
  </si>
  <si>
    <t>2026-07-17T09:30</t>
  </si>
  <si>
    <t>2026-07-17T09:45</t>
  </si>
  <si>
    <t>2026-07-17T10:00</t>
  </si>
  <si>
    <t>2026-07-17T10:15</t>
  </si>
  <si>
    <t>2026-07-17T10:30</t>
  </si>
  <si>
    <t>2026-07-17T10:45</t>
  </si>
  <si>
    <t>2026-07-17T11:00</t>
  </si>
  <si>
    <t>2026-07-17T11:15</t>
  </si>
  <si>
    <t>2026-07-17T11:30</t>
  </si>
  <si>
    <t>2026-07-17T11:45</t>
  </si>
  <si>
    <t>2026-07-17T12:00</t>
  </si>
  <si>
    <t>2026-07-17T12:15</t>
  </si>
  <si>
    <t>2026-07-17T12:30</t>
  </si>
  <si>
    <t>2026-07-17T12:45</t>
  </si>
  <si>
    <t>2026-07-17T13:00</t>
  </si>
  <si>
    <t>2026-07-17T13:15</t>
  </si>
  <si>
    <t>2026-07-17T13:30</t>
  </si>
  <si>
    <t>2026-07-17T13:45</t>
  </si>
  <si>
    <t>2026-07-17T14:00</t>
  </si>
  <si>
    <t>2026-07-17T14:15</t>
  </si>
  <si>
    <t>2026-07-17T14:30</t>
  </si>
  <si>
    <t>2026-07-17T14:45</t>
  </si>
  <si>
    <t>2026-07-17T15:00</t>
  </si>
  <si>
    <t>2026-07-17T15:15</t>
  </si>
  <si>
    <t>2026-07-20T09:15</t>
  </si>
  <si>
    <t>2026-07-20T09:30</t>
  </si>
  <si>
    <t>2026-07-20T09:45</t>
  </si>
  <si>
    <t>2026-07-20T10:00</t>
  </si>
  <si>
    <t>2026-07-20T10:15</t>
  </si>
  <si>
    <t>2026-07-20T10:30</t>
  </si>
  <si>
    <t>2026-07-20T10:45</t>
  </si>
  <si>
    <t>2026-07-20T11:00</t>
  </si>
  <si>
    <t>2026-07-20T11:15</t>
  </si>
  <si>
    <t>2026-07-20T11:30</t>
  </si>
  <si>
    <t>2026-07-20T11:45</t>
  </si>
  <si>
    <t>2026-07-20T12:00</t>
  </si>
  <si>
    <t>2026-07-20T12:15</t>
  </si>
  <si>
    <t>2026-07-20T12:30</t>
  </si>
  <si>
    <t>2026-07-20T12:45</t>
  </si>
  <si>
    <t>2026-07-20T13:00</t>
  </si>
  <si>
    <t>2026-07-20T13:15</t>
  </si>
  <si>
    <t>2026-07-20T13:30</t>
  </si>
  <si>
    <t>2026-07-20T13:45</t>
  </si>
  <si>
    <t>2026-07-20T14:00</t>
  </si>
  <si>
    <t>2026-07-20T14:15</t>
  </si>
  <si>
    <t>2026-07-20T14:30</t>
  </si>
  <si>
    <t>2026-07-20T14:45</t>
  </si>
  <si>
    <t>2026-07-20T15:00</t>
  </si>
  <si>
    <t>2026-07-20T15:15</t>
  </si>
  <si>
    <t>2026-07-21T09:15</t>
  </si>
  <si>
    <t>2026-07-21T09:30</t>
  </si>
  <si>
    <t>2026-07-21T09:45</t>
  </si>
  <si>
    <t>2026-07-21T10:00</t>
  </si>
  <si>
    <t>2026-07-21T10:15</t>
  </si>
  <si>
    <t>2026-07-21T10:30</t>
  </si>
  <si>
    <t>2026-07-21T10:45</t>
  </si>
  <si>
    <t>2026-07-21T11:00</t>
  </si>
  <si>
    <t>2026-07-21T11:15</t>
  </si>
  <si>
    <t>2026-07-21T11:30</t>
  </si>
  <si>
    <t>2026-07-21T11:45</t>
  </si>
  <si>
    <t>2026-07-21T12:00</t>
  </si>
  <si>
    <t>2026-07-21T12:15</t>
  </si>
  <si>
    <t>2026-07-21T12:30</t>
  </si>
  <si>
    <t>2026-07-21T12:45</t>
  </si>
  <si>
    <t>2026-07-21T13:00</t>
  </si>
  <si>
    <t>2026-07-21T13:15</t>
  </si>
  <si>
    <t>2026-07-21T13:30</t>
  </si>
  <si>
    <t>2026-07-21T13:45</t>
  </si>
  <si>
    <t>2026-07-21T14:00</t>
  </si>
  <si>
    <t>2026-07-21T14:15</t>
  </si>
  <si>
    <t>2026-07-21T14:30</t>
  </si>
  <si>
    <t>2026-07-21T14:45</t>
  </si>
  <si>
    <t>2026-07-21T15:00</t>
  </si>
  <si>
    <t>2026-07-21T15:15</t>
  </si>
  <si>
    <t>2026-07-22T09:15</t>
  </si>
  <si>
    <t>2026-07-22T09:30</t>
  </si>
  <si>
    <t>2026-07-22T09:45</t>
  </si>
  <si>
    <t>2026-07-22T10:00</t>
  </si>
  <si>
    <t>2026-07-22T10:15</t>
  </si>
  <si>
    <t>2026-07-22T10:30</t>
  </si>
  <si>
    <t>2026-07-22T10:45</t>
  </si>
  <si>
    <t>2026-07-22T11:00</t>
  </si>
  <si>
    <t>2026-07-22T11:15</t>
  </si>
  <si>
    <t>2026-07-22T11:30</t>
  </si>
  <si>
    <t>2026-07-22T11:45</t>
  </si>
  <si>
    <t>2026-07-22T12:00</t>
  </si>
  <si>
    <t>2026-07-22T12:15</t>
  </si>
  <si>
    <t>2026-07-22T12:30</t>
  </si>
  <si>
    <t>2026-07-22T12:45</t>
  </si>
  <si>
    <t>2026-07-22T13:00</t>
  </si>
  <si>
    <t>2026-07-22T13:15</t>
  </si>
  <si>
    <t>2026-07-22T13:30</t>
  </si>
  <si>
    <t>2026-07-22T13:45</t>
  </si>
  <si>
    <t>2026-07-22T14:00</t>
  </si>
  <si>
    <t>2026-07-22T14:15</t>
  </si>
  <si>
    <t>2026-07-22T14:30</t>
  </si>
  <si>
    <t>2026-07-22T14:45</t>
  </si>
  <si>
    <t>2026-07-22T15:00</t>
  </si>
  <si>
    <t>2026-07-22T15:15</t>
  </si>
  <si>
    <t>2026-07-23T09:15</t>
  </si>
  <si>
    <t>2026-07-23T09:30</t>
  </si>
  <si>
    <t>2026-07-23T09:45</t>
  </si>
  <si>
    <t>2026-07-23T10:00</t>
  </si>
  <si>
    <t>2026-07-23T10:15</t>
  </si>
  <si>
    <t>2026-07-23T10:30</t>
  </si>
  <si>
    <t>2026-07-23T10:45</t>
  </si>
  <si>
    <t>2026-07-23T11:00</t>
  </si>
  <si>
    <t>2026-07-23T11:15</t>
  </si>
  <si>
    <t>2026-07-23T11:30</t>
  </si>
  <si>
    <t>2026-07-23T11:45</t>
  </si>
  <si>
    <t>2026-07-23T12:00</t>
  </si>
  <si>
    <t>2026-07-23T12:15</t>
  </si>
  <si>
    <t>2026-07-23T12:30</t>
  </si>
  <si>
    <t>2026-07-23T12:45</t>
  </si>
  <si>
    <t>2026-07-23T13:00</t>
  </si>
  <si>
    <t>2026-07-23T13:15</t>
  </si>
  <si>
    <t>2026-07-23T13:30</t>
  </si>
  <si>
    <t>2026-07-23T13:45</t>
  </si>
  <si>
    <t>2026-07-23T14:00</t>
  </si>
  <si>
    <t>2026-07-23T14:15</t>
  </si>
  <si>
    <t>2026-07-23T14:30</t>
  </si>
  <si>
    <t>2026-07-23T14:45</t>
  </si>
  <si>
    <t>2026-07-23T15:00</t>
  </si>
  <si>
    <t>2026-07-23T15:15</t>
  </si>
  <si>
    <t>2026-07-24T09:15</t>
  </si>
  <si>
    <t>2026-07-24T09:30</t>
  </si>
  <si>
    <t>2026-07-24T09:45</t>
  </si>
  <si>
    <t>2026-07-24T10:00</t>
  </si>
  <si>
    <t>2026-07-24T10:15</t>
  </si>
  <si>
    <t>2026-07-24T10:30</t>
  </si>
  <si>
    <t>2026-07-24T10:45</t>
  </si>
  <si>
    <t>2026-07-24T11:00</t>
  </si>
  <si>
    <t>2026-07-24T11:15</t>
  </si>
  <si>
    <t>2026-07-24T11:30</t>
  </si>
  <si>
    <t>2026-07-24T11:45</t>
  </si>
  <si>
    <t>2026-07-24T12:00</t>
  </si>
  <si>
    <t>2026-07-24T12:15</t>
  </si>
  <si>
    <t>2026-07-24T12:30</t>
  </si>
  <si>
    <t>2026-07-24T12:45</t>
  </si>
  <si>
    <t>2026-07-24T13:00</t>
  </si>
  <si>
    <t>2026-07-24T13:15</t>
  </si>
  <si>
    <t>2026-07-24T13:30</t>
  </si>
  <si>
    <t>2026-07-24T13:45</t>
  </si>
  <si>
    <t>2026-07-24T14:00</t>
  </si>
  <si>
    <t>2026-07-24T14:15</t>
  </si>
  <si>
    <t>2026-07-24T14:30</t>
  </si>
  <si>
    <t>2026-07-24T14:45</t>
  </si>
  <si>
    <t>2026-07-24T15:00</t>
  </si>
  <si>
    <t>2026-07-24T15:15</t>
  </si>
  <si>
    <t>2026-07-27T09:15</t>
  </si>
  <si>
    <t>2026-07-27T09:30</t>
  </si>
  <si>
    <t>2026-07-27T09:45</t>
  </si>
  <si>
    <t>2026-07-27T10:00</t>
  </si>
  <si>
    <t>2026-07-27T10:15</t>
  </si>
  <si>
    <t>2026-07-27T10:30</t>
  </si>
  <si>
    <t>2026-07-27T10:45</t>
  </si>
  <si>
    <t>2026-07-27T11:00</t>
  </si>
  <si>
    <t>2026-07-27T11:15</t>
  </si>
  <si>
    <t>2026-07-27T11:30</t>
  </si>
  <si>
    <t>2026-07-27T11:45</t>
  </si>
  <si>
    <t>2026-07-27T12:00</t>
  </si>
  <si>
    <t>2026-07-27T12:15</t>
  </si>
  <si>
    <t>2026-07-27T12:30</t>
  </si>
  <si>
    <t>2026-07-27T12:45</t>
  </si>
  <si>
    <t>2026-07-27T13:00</t>
  </si>
  <si>
    <t>2026-07-27T13:15</t>
  </si>
  <si>
    <t>2026-07-27T13:30</t>
  </si>
  <si>
    <t>2026-07-27T13:45</t>
  </si>
  <si>
    <t>2026-07-27T14:00</t>
  </si>
  <si>
    <t>2026-07-27T14:15</t>
  </si>
  <si>
    <t>2026-07-27T14:30</t>
  </si>
  <si>
    <t>2026-07-27T14:45</t>
  </si>
  <si>
    <t>2026-07-27T15:00</t>
  </si>
  <si>
    <t>2026-07-27T15:15</t>
  </si>
  <si>
    <t>2026-07-28T09:15</t>
  </si>
  <si>
    <t>2026-07-28T09:30</t>
  </si>
  <si>
    <t>2026-07-28T09:45</t>
  </si>
  <si>
    <t>2026-07-28T10:00</t>
  </si>
  <si>
    <t>2026-07-28T10:15</t>
  </si>
  <si>
    <t>2026-07-28T10:30</t>
  </si>
  <si>
    <t>2026-07-28T10:45</t>
  </si>
  <si>
    <t>2026-07-28T11:00</t>
  </si>
  <si>
    <t>2026-07-28T11:15</t>
  </si>
  <si>
    <t>2026-07-28T11:30</t>
  </si>
  <si>
    <t>2026-07-28T11:45</t>
  </si>
  <si>
    <t>2026-07-28T12:00</t>
  </si>
  <si>
    <t>2026-07-28T12:15</t>
  </si>
  <si>
    <t>2026-07-28T12:30</t>
  </si>
  <si>
    <t>2026-07-28T12:45</t>
  </si>
  <si>
    <t>2026-07-28T13:00</t>
  </si>
  <si>
    <t>2026-07-28T13:15</t>
  </si>
  <si>
    <t>2026-07-28T13:30</t>
  </si>
  <si>
    <t>2026-07-28T13:45</t>
  </si>
  <si>
    <t>2026-07-28T14:00</t>
  </si>
  <si>
    <t>2026-07-28T14:15</t>
  </si>
  <si>
    <t>2026-07-28T14:30</t>
  </si>
  <si>
    <t>2026-07-28T14:45</t>
  </si>
  <si>
    <t>2026-07-28T15:00</t>
  </si>
  <si>
    <t>2026-07-28T15:15</t>
  </si>
  <si>
    <t>2026-07-29T09:15</t>
  </si>
  <si>
    <t>2026-07-29T09:30</t>
  </si>
  <si>
    <t>2026-07-29T09:45</t>
  </si>
  <si>
    <t>2026-07-29T10:00</t>
  </si>
  <si>
    <t>2026-07-29T10:15</t>
  </si>
  <si>
    <t>2026-07-29T10:30</t>
  </si>
  <si>
    <t>2026-07-29T10:45</t>
  </si>
  <si>
    <t>2026-07-29T11:00</t>
  </si>
  <si>
    <t>2026-07-29T11:15</t>
  </si>
  <si>
    <t>2026-07-29T11:30</t>
  </si>
  <si>
    <t>2026-07-29T11:45</t>
  </si>
  <si>
    <t>2026-07-29T12:00</t>
  </si>
  <si>
    <t>2026-07-29T12:15</t>
  </si>
  <si>
    <t>2026-07-29T12:30</t>
  </si>
  <si>
    <t>2026-07-29T12:45</t>
  </si>
  <si>
    <t>2026-07-29T13:00</t>
  </si>
  <si>
    <t>2026-07-29T13:15</t>
  </si>
  <si>
    <t>2026-07-29T13:30</t>
  </si>
  <si>
    <t>2026-07-29T13:45</t>
  </si>
  <si>
    <t>2026-07-29T14:00</t>
  </si>
  <si>
    <t>2026-07-29T14:15</t>
  </si>
  <si>
    <t>2026-07-29T14:30</t>
  </si>
  <si>
    <t>2026-07-29T14:45</t>
  </si>
  <si>
    <t>2026-07-29T15:00</t>
  </si>
  <si>
    <t>2026-07-29T15:15</t>
  </si>
  <si>
    <t>2026-07-30T09:15</t>
  </si>
  <si>
    <t>2026-07-30T09:30</t>
  </si>
  <si>
    <t>2026-07-30T09:45</t>
  </si>
  <si>
    <t>2026-07-30T10:00</t>
  </si>
  <si>
    <t>2026-07-30T10:15</t>
  </si>
  <si>
    <t>2026-07-30T10:30</t>
  </si>
  <si>
    <t>2026-07-30T10:45</t>
  </si>
  <si>
    <t>2026-07-30T11:00</t>
  </si>
  <si>
    <t>2026-07-30T11:15</t>
  </si>
  <si>
    <t>2026-07-30T11:30</t>
  </si>
  <si>
    <t>2026-07-30T11:45</t>
  </si>
  <si>
    <t>2026-07-30T12:00</t>
  </si>
  <si>
    <t>2026-07-30T12:15</t>
  </si>
  <si>
    <t>2026-07-30T12:30</t>
  </si>
  <si>
    <t>2026-07-30T12:45</t>
  </si>
  <si>
    <t>2026-07-30T13:00</t>
  </si>
  <si>
    <t>2026-07-30T13:15</t>
  </si>
  <si>
    <t>2026-07-30T13:30</t>
  </si>
  <si>
    <t>2026-07-30T13:45</t>
  </si>
  <si>
    <t>2026-07-30T14:00</t>
  </si>
  <si>
    <t>2026-07-30T14:15</t>
  </si>
  <si>
    <t>2026-07-30T14:30</t>
  </si>
  <si>
    <t>2026-07-30T14:45</t>
  </si>
  <si>
    <t>2026-07-30T15:00</t>
  </si>
  <si>
    <t>2026-07-30T15:15</t>
  </si>
  <si>
    <t>2026-07-31T09:15</t>
  </si>
  <si>
    <t>2026-07-31T09:30</t>
  </si>
  <si>
    <t>2026-07-31T09:45</t>
  </si>
  <si>
    <t>2026-07-31T10:00</t>
  </si>
  <si>
    <t>2026-07-31T10:15</t>
  </si>
  <si>
    <t>2026-07-31T10:30</t>
  </si>
  <si>
    <t>2026-07-31T10:45</t>
  </si>
  <si>
    <t>2026-07-31T11:00</t>
  </si>
  <si>
    <t>2026-07-31T11:15</t>
  </si>
  <si>
    <t>2026-07-31T11:30</t>
  </si>
  <si>
    <t>2026-07-31T11:45</t>
  </si>
  <si>
    <t>2026-07-31T12:00</t>
  </si>
  <si>
    <t>2026-07-31T12:15</t>
  </si>
  <si>
    <t>2026-07-31T12:30</t>
  </si>
  <si>
    <t>2026-07-31T12:45</t>
  </si>
  <si>
    <t>2026-07-31T13:00</t>
  </si>
  <si>
    <t>2026-07-31T13:15</t>
  </si>
  <si>
    <t>2026-07-31T13:30</t>
  </si>
  <si>
    <t>2026-07-31T13:45</t>
  </si>
  <si>
    <t>2026-07-31T14:00</t>
  </si>
  <si>
    <t>2026-07-31T14:15</t>
  </si>
  <si>
    <t>2026-07-31T14:30</t>
  </si>
  <si>
    <t>2026-07-31T14:45</t>
  </si>
  <si>
    <t>2026-07-31T15:00</t>
  </si>
  <si>
    <t>2026-07-31T15:15</t>
  </si>
  <si>
    <t>2026-08-03T09:15</t>
  </si>
  <si>
    <t>2026-08-03T09:30</t>
  </si>
  <si>
    <t>2026-08-03T09:45</t>
  </si>
  <si>
    <t>2026-08-03T10:00</t>
  </si>
  <si>
    <t>2026-08-03T10:15</t>
  </si>
  <si>
    <t>2026-08-03T10:30</t>
  </si>
  <si>
    <t>2026-08-03T10:45</t>
  </si>
  <si>
    <t>2026-08-03T11:00</t>
  </si>
  <si>
    <t>2026-08-03T11:15</t>
  </si>
  <si>
    <t>2026-08-03T11:30</t>
  </si>
  <si>
    <t>2026-08-03T11:45</t>
  </si>
  <si>
    <t>2026-08-03T12:00</t>
  </si>
  <si>
    <t>2026-08-03T12:15</t>
  </si>
  <si>
    <t>2026-08-03T12:30</t>
  </si>
  <si>
    <t>2026-08-03T12:45</t>
  </si>
  <si>
    <t>2026-08-03T13:00</t>
  </si>
  <si>
    <t>2026-08-03T13:15</t>
  </si>
  <si>
    <t>2026-08-03T13:30</t>
  </si>
  <si>
    <t>2026-08-03T13:45</t>
  </si>
  <si>
    <t>2026-08-03T14:00</t>
  </si>
  <si>
    <t>2026-08-03T14:15</t>
  </si>
  <si>
    <t>2026-08-03T14:30</t>
  </si>
  <si>
    <t>2026-08-03T14:45</t>
  </si>
  <si>
    <t>2026-08-03T15:00</t>
  </si>
  <si>
    <t>2026-08-04T09:15</t>
  </si>
  <si>
    <t>2026-08-04T09:30</t>
  </si>
  <si>
    <t>2026-08-04T09:45</t>
  </si>
  <si>
    <t>2026-08-04T10:00</t>
  </si>
  <si>
    <t>2026-08-04T10:15</t>
  </si>
  <si>
    <t>2026-08-04T10:30</t>
  </si>
  <si>
    <t>2026-08-04T10:45</t>
  </si>
  <si>
    <t>2026-08-04T11:00</t>
  </si>
  <si>
    <t>2026-08-04T11:15</t>
  </si>
  <si>
    <t>2026-08-04T11:30</t>
  </si>
  <si>
    <t>2026-08-04T11:45</t>
  </si>
  <si>
    <t>2026-08-04T12:00</t>
  </si>
  <si>
    <t>2026-08-04T12:15</t>
  </si>
  <si>
    <t>2026-08-04T12:30</t>
  </si>
  <si>
    <t>2026-08-04T12:45</t>
  </si>
  <si>
    <t>2026-08-04T13:00</t>
  </si>
  <si>
    <t>2026-08-04T13:15</t>
  </si>
  <si>
    <t>2026-08-04T13:30</t>
  </si>
  <si>
    <t>2026-08-04T13:45</t>
  </si>
  <si>
    <t>2026-08-04T14:00</t>
  </si>
  <si>
    <t>2026-08-04T14:15</t>
  </si>
  <si>
    <t>2026-08-04T14:30</t>
  </si>
  <si>
    <t>2026-08-04T14:45</t>
  </si>
  <si>
    <t>2026-08-04T15:00</t>
  </si>
  <si>
    <t>2026-08-05T09:15</t>
  </si>
  <si>
    <t>2026-08-05T09:30</t>
  </si>
  <si>
    <t>2026-08-05T09:45</t>
  </si>
  <si>
    <t>2026-08-05T10:00</t>
  </si>
  <si>
    <t>2026-08-05T10:15</t>
  </si>
  <si>
    <t>2026-08-05T10:30</t>
  </si>
  <si>
    <t>2026-08-05T10:45</t>
  </si>
  <si>
    <t>2026-08-05T11:00</t>
  </si>
  <si>
    <t>2026-08-05T11:15</t>
  </si>
  <si>
    <t>2026-08-05T11:30</t>
  </si>
  <si>
    <t>2026-08-05T11:45</t>
  </si>
  <si>
    <t>2026-08-05T12:00</t>
  </si>
  <si>
    <t>2026-08-05T12:15</t>
  </si>
  <si>
    <t>2026-08-05T12:30</t>
  </si>
  <si>
    <t>2026-08-05T12:45</t>
  </si>
  <si>
    <t>2026-08-05T13:00</t>
  </si>
  <si>
    <t>2026-08-05T13:15</t>
  </si>
  <si>
    <t>2026-08-05T13:30</t>
  </si>
  <si>
    <t>2026-08-05T13:45</t>
  </si>
  <si>
    <t>2026-08-05T14:00</t>
  </si>
  <si>
    <t>2026-08-05T14:15</t>
  </si>
  <si>
    <t>2026-08-05T14:30</t>
  </si>
  <si>
    <t>2026-08-05T14:45</t>
  </si>
  <si>
    <t>2026-08-05T15:00</t>
  </si>
  <si>
    <t>2026-08-06T09:15</t>
  </si>
  <si>
    <t>2026-08-06T09:30</t>
  </si>
  <si>
    <t>2026-08-06T09:45</t>
  </si>
  <si>
    <t>2026-08-06T10:00</t>
  </si>
  <si>
    <t>2026-08-06T10:15</t>
  </si>
  <si>
    <t>2026-08-06T10:30</t>
  </si>
  <si>
    <t>2026-08-06T10:45</t>
  </si>
  <si>
    <t>2026-08-06T11:00</t>
  </si>
  <si>
    <t>2026-08-06T11:15</t>
  </si>
  <si>
    <t>2026-08-06T11:30</t>
  </si>
  <si>
    <t>2026-08-06T11:45</t>
  </si>
  <si>
    <t>2026-08-06T12:00</t>
  </si>
  <si>
    <t>2026-08-06T12:15</t>
  </si>
  <si>
    <t>2026-08-06T12:30</t>
  </si>
  <si>
    <t>2026-08-06T12:45</t>
  </si>
  <si>
    <t>2026-08-06T13:00</t>
  </si>
  <si>
    <t>2026-08-06T13:15</t>
  </si>
  <si>
    <t>2026-08-06T13:30</t>
  </si>
  <si>
    <t>2026-08-06T13:45</t>
  </si>
  <si>
    <t>2026-08-06T14:00</t>
  </si>
  <si>
    <t>2026-08-06T14:15</t>
  </si>
  <si>
    <t>2026-08-06T14:30</t>
  </si>
  <si>
    <t>2026-08-06T14:45</t>
  </si>
  <si>
    <t>2026-08-06T15:00</t>
  </si>
  <si>
    <t>2026-08-07T09:15</t>
  </si>
  <si>
    <t>2026-08-07T09:30</t>
  </si>
  <si>
    <t>2026-08-07T09:45</t>
  </si>
  <si>
    <t>2026-08-07T10:00</t>
  </si>
  <si>
    <t>2026-08-07T10:15</t>
  </si>
  <si>
    <t>2026-08-07T10:30</t>
  </si>
  <si>
    <t>2026-08-07T10:45</t>
  </si>
  <si>
    <t>2026-08-07T11:00</t>
  </si>
  <si>
    <t>2026-08-07T11:15</t>
  </si>
  <si>
    <t>2026-08-07T11:30</t>
  </si>
  <si>
    <t>2026-08-07T11:45</t>
  </si>
  <si>
    <t>2026-08-07T12:00</t>
  </si>
  <si>
    <t>2026-08-07T12:15</t>
  </si>
  <si>
    <t>2026-08-07T12:30</t>
  </si>
  <si>
    <t>2026-08-07T12:45</t>
  </si>
  <si>
    <t>2026-08-07T13:00</t>
  </si>
  <si>
    <t>2026-08-07T13:15</t>
  </si>
  <si>
    <t>2026-08-07T13:30</t>
  </si>
  <si>
    <t>2026-08-07T13:45</t>
  </si>
  <si>
    <t>2026-08-07T14:00</t>
  </si>
  <si>
    <t>2026-08-07T14:15</t>
  </si>
  <si>
    <t>2026-08-07T14:30</t>
  </si>
  <si>
    <t>2026-08-07T14:45</t>
  </si>
  <si>
    <t>2026-08-07T15:00</t>
  </si>
  <si>
    <t>2026-08-10T09:15</t>
  </si>
  <si>
    <t>2026-08-10T09:30</t>
  </si>
  <si>
    <t>2026-08-10T09:45</t>
  </si>
  <si>
    <t>2026-08-10T10:00</t>
  </si>
  <si>
    <t>2026-08-10T10:15</t>
  </si>
  <si>
    <t>2026-08-10T10:30</t>
  </si>
  <si>
    <t>2026-08-10T10:45</t>
  </si>
  <si>
    <t>2026-08-10T11:00</t>
  </si>
  <si>
    <t>2026-08-10T11:15</t>
  </si>
  <si>
    <t>2026-08-10T11:30</t>
  </si>
  <si>
    <t>2026-08-10T11:45</t>
  </si>
  <si>
    <t>2026-08-10T12:00</t>
  </si>
  <si>
    <t>2026-08-10T12:15</t>
  </si>
  <si>
    <t>2026-08-10T12:30</t>
  </si>
  <si>
    <t>2026-08-10T12:45</t>
  </si>
  <si>
    <t>2026-08-10T13:00</t>
  </si>
  <si>
    <t>2026-08-10T13:15</t>
  </si>
  <si>
    <t>2026-08-10T13:30</t>
  </si>
  <si>
    <t>2026-08-10T13:45</t>
  </si>
  <si>
    <t>2026-08-10T14:00</t>
  </si>
  <si>
    <t>2026-08-10T14:15</t>
  </si>
  <si>
    <t>2026-08-10T14:30</t>
  </si>
  <si>
    <t>2026-08-10T14:45</t>
  </si>
  <si>
    <t>2026-08-10T15:00</t>
  </si>
  <si>
    <t>2026-08-11T09:15</t>
  </si>
  <si>
    <t>2026-08-11T09:30</t>
  </si>
  <si>
    <t>2026-08-11T09:45</t>
  </si>
  <si>
    <t>2026-08-11T10:00</t>
  </si>
  <si>
    <t>2026-08-11T10:15</t>
  </si>
  <si>
    <t>2026-08-11T10:30</t>
  </si>
  <si>
    <t>2026-08-11T10:45</t>
  </si>
  <si>
    <t>2026-08-11T11:00</t>
  </si>
  <si>
    <t>2026-08-11T11:15</t>
  </si>
  <si>
    <t>2026-08-11T11:30</t>
  </si>
  <si>
    <t>2026-08-11T11:45</t>
  </si>
  <si>
    <t>2026-08-11T12:00</t>
  </si>
  <si>
    <t>2026-08-11T12:15</t>
  </si>
  <si>
    <t>2026-08-11T12:30</t>
  </si>
  <si>
    <t>2026-08-11T12:45</t>
  </si>
  <si>
    <t>2026-08-11T13:00</t>
  </si>
  <si>
    <t>2026-08-11T13:15</t>
  </si>
  <si>
    <t>2026-08-11T13:30</t>
  </si>
  <si>
    <t>2026-08-11T13:45</t>
  </si>
  <si>
    <t>2026-08-11T14:00</t>
  </si>
  <si>
    <t>2026-08-11T14:15</t>
  </si>
  <si>
    <t>2026-08-11T14:30</t>
  </si>
  <si>
    <t>2026-08-11T14:45</t>
  </si>
  <si>
    <t>2026-08-11T15:00</t>
  </si>
  <si>
    <t>2026-08-12T09:15</t>
  </si>
  <si>
    <t>2026-08-12T09:30</t>
  </si>
  <si>
    <t>2026-08-12T09:45</t>
  </si>
  <si>
    <t>2026-08-12T10:00</t>
  </si>
  <si>
    <t>2026-08-12T10:15</t>
  </si>
  <si>
    <t>2026-08-12T10:30</t>
  </si>
  <si>
    <t>2026-08-12T10:45</t>
  </si>
  <si>
    <t>2026-08-12T11:00</t>
  </si>
  <si>
    <t>2026-08-12T11:15</t>
  </si>
  <si>
    <t>2026-08-12T11:30</t>
  </si>
  <si>
    <t>2026-08-12T11:45</t>
  </si>
  <si>
    <t>2026-08-12T12:00</t>
  </si>
  <si>
    <t>2026-08-12T12:15</t>
  </si>
  <si>
    <t>2026-08-12T12:30</t>
  </si>
  <si>
    <t>2026-08-12T12:45</t>
  </si>
  <si>
    <t>2026-08-12T13:00</t>
  </si>
  <si>
    <t>2026-08-12T13:15</t>
  </si>
  <si>
    <t>2026-08-12T13:30</t>
  </si>
  <si>
    <t>2026-08-12T13:45</t>
  </si>
  <si>
    <t>2026-08-12T14:00</t>
  </si>
  <si>
    <t>2026-08-12T14:15</t>
  </si>
  <si>
    <t>2026-08-12T14:30</t>
  </si>
  <si>
    <t>2026-08-12T14:45</t>
  </si>
  <si>
    <t>2026-08-12T15:00</t>
  </si>
  <si>
    <t>2026-08-13T09:15</t>
  </si>
  <si>
    <t>2026-08-13T09:30</t>
  </si>
  <si>
    <t>2026-08-13T09:45</t>
  </si>
  <si>
    <t>2026-08-13T10:00</t>
  </si>
  <si>
    <t>2026-08-13T10:15</t>
  </si>
  <si>
    <t>2026-08-13T10:30</t>
  </si>
  <si>
    <t>2026-08-13T10:45</t>
  </si>
  <si>
    <t>2026-08-13T11:00</t>
  </si>
  <si>
    <t>2026-08-13T11:15</t>
  </si>
  <si>
    <t>2026-08-13T11:30</t>
  </si>
  <si>
    <t>2026-08-13T11:45</t>
  </si>
  <si>
    <t>2026-08-13T12:00</t>
  </si>
  <si>
    <t>2026-08-13T12:15</t>
  </si>
  <si>
    <t>2026-08-13T12:30</t>
  </si>
  <si>
    <t>2026-08-13T12:45</t>
  </si>
  <si>
    <t>2026-08-13T13:00</t>
  </si>
  <si>
    <t>2026-08-13T13:15</t>
  </si>
  <si>
    <t>2026-08-13T13:30</t>
  </si>
  <si>
    <t>2026-08-13T13:45</t>
  </si>
  <si>
    <t>2026-08-13T14:00</t>
  </si>
  <si>
    <t>2026-08-13T14:15</t>
  </si>
  <si>
    <t>2026-08-13T14:30</t>
  </si>
  <si>
    <t>2026-08-13T14:45</t>
  </si>
  <si>
    <t>2026-08-13T15:00</t>
  </si>
  <si>
    <t>2026-08-14T09:15</t>
  </si>
  <si>
    <t>2026-08-14T09:30</t>
  </si>
  <si>
    <t>2026-08-14T09:45</t>
  </si>
  <si>
    <t>2026-08-14T10:00</t>
  </si>
  <si>
    <t>2026-08-14T10:15</t>
  </si>
  <si>
    <t>2026-08-14T10:30</t>
  </si>
  <si>
    <t>2026-08-14T10:45</t>
  </si>
  <si>
    <t>2026-08-14T11:00</t>
  </si>
  <si>
    <t>2026-08-14T11:15</t>
  </si>
  <si>
    <t>2026-08-14T11:30</t>
  </si>
  <si>
    <t>2026-08-14T11:45</t>
  </si>
  <si>
    <t>2026-08-14T12:00</t>
  </si>
  <si>
    <t>2026-08-14T12:15</t>
  </si>
  <si>
    <t>2026-08-14T12:30</t>
  </si>
  <si>
    <t>2026-08-14T12:45</t>
  </si>
  <si>
    <t>2026-08-14T13:00</t>
  </si>
  <si>
    <t>2026-08-14T13:15</t>
  </si>
  <si>
    <t>2026-08-14T13:30</t>
  </si>
  <si>
    <t>2026-08-14T13:45</t>
  </si>
  <si>
    <t>2026-08-14T14:00</t>
  </si>
  <si>
    <t>2026-08-14T14:15</t>
  </si>
  <si>
    <t>2026-08-14T14:30</t>
  </si>
  <si>
    <t>2026-08-14T14:45</t>
  </si>
  <si>
    <t>2026-08-14T15:00</t>
  </si>
  <si>
    <t>2026-08-17T09:15</t>
  </si>
  <si>
    <t>2026-08-17T09:30</t>
  </si>
  <si>
    <t>2026-08-17T09:45</t>
  </si>
  <si>
    <t>2026-08-17T10:00</t>
  </si>
  <si>
    <t>2026-08-17T10:15</t>
  </si>
  <si>
    <t>2026-08-17T10:30</t>
  </si>
  <si>
    <t>2026-08-17T10:45</t>
  </si>
  <si>
    <t>2026-08-17T11:00</t>
  </si>
  <si>
    <t>2026-08-17T11:15</t>
  </si>
  <si>
    <t>2026-08-17T11:30</t>
  </si>
  <si>
    <t>2026-08-17T11:45</t>
  </si>
  <si>
    <t>2026-08-17T12:00</t>
  </si>
  <si>
    <t>2026-08-17T12:15</t>
  </si>
  <si>
    <t>2026-08-17T12:30</t>
  </si>
  <si>
    <t>2026-08-17T12:45</t>
  </si>
  <si>
    <t>2026-08-17T13:00</t>
  </si>
  <si>
    <t>2026-08-17T13:15</t>
  </si>
  <si>
    <t>2026-08-17T13:30</t>
  </si>
  <si>
    <t>2026-08-17T13:45</t>
  </si>
  <si>
    <t>2026-08-17T14:00</t>
  </si>
  <si>
    <t>2026-08-17T14:15</t>
  </si>
  <si>
    <t>2026-08-17T14:30</t>
  </si>
  <si>
    <t>2026-08-17T14:45</t>
  </si>
  <si>
    <t>2026-08-17T15:00</t>
  </si>
  <si>
    <t>2026-08-18T09:15</t>
  </si>
  <si>
    <t>2026-08-18T09:30</t>
  </si>
  <si>
    <t>2026-08-18T09:45</t>
  </si>
  <si>
    <t>2026-08-18T10:00</t>
  </si>
  <si>
    <t>2026-08-18T10:15</t>
  </si>
  <si>
    <t>2026-08-18T10:30</t>
  </si>
  <si>
    <t>2026-08-18T10:45</t>
  </si>
  <si>
    <t>2026-08-18T11:00</t>
  </si>
  <si>
    <t>2026-08-18T11:15</t>
  </si>
  <si>
    <t>2026-08-18T11:30</t>
  </si>
  <si>
    <t>2026-08-18T11:45</t>
  </si>
  <si>
    <t>2026-08-18T12:00</t>
  </si>
  <si>
    <t>2026-08-18T12:15</t>
  </si>
  <si>
    <t>2026-08-18T12:30</t>
  </si>
  <si>
    <t>2026-08-18T12:45</t>
  </si>
  <si>
    <t>2026-08-18T13:00</t>
  </si>
  <si>
    <t>2026-08-18T13:15</t>
  </si>
  <si>
    <t>2026-08-18T13:30</t>
  </si>
  <si>
    <t>2026-08-18T13:45</t>
  </si>
  <si>
    <t>2026-08-18T14:00</t>
  </si>
  <si>
    <t>2026-08-18T14:15</t>
  </si>
  <si>
    <t>2026-08-18T14:30</t>
  </si>
  <si>
    <t>2026-08-18T14:45</t>
  </si>
  <si>
    <t>2026-08-18T15:00</t>
  </si>
  <si>
    <t>2026-08-19T09:15</t>
  </si>
  <si>
    <t>2026-08-19T09:30</t>
  </si>
  <si>
    <t>2026-08-19T09:45</t>
  </si>
  <si>
    <t>2026-08-19T10:00</t>
  </si>
  <si>
    <t>2026-08-19T10:15</t>
  </si>
  <si>
    <t>2026-08-19T10:30</t>
  </si>
  <si>
    <t>2026-08-19T10:45</t>
  </si>
  <si>
    <t>2026-08-19T11:00</t>
  </si>
  <si>
    <t>2026-08-19T11:15</t>
  </si>
  <si>
    <t>2026-08-19T11:30</t>
  </si>
  <si>
    <t>2026-08-19T11:45</t>
  </si>
  <si>
    <t>2026-08-19T12:00</t>
  </si>
  <si>
    <t>2026-08-19T12:15</t>
  </si>
  <si>
    <t>2026-08-19T12:30</t>
  </si>
  <si>
    <t>2026-08-19T12:45</t>
  </si>
  <si>
    <t>2026-08-19T13:00</t>
  </si>
  <si>
    <t>2026-08-19T13:15</t>
  </si>
  <si>
    <t>2026-08-19T13:30</t>
  </si>
  <si>
    <t>2026-08-19T13:45</t>
  </si>
  <si>
    <t>2026-08-19T14:00</t>
  </si>
  <si>
    <t>2026-08-19T14:15</t>
  </si>
  <si>
    <t>2026-08-19T14:30</t>
  </si>
  <si>
    <t>2026-08-19T14:45</t>
  </si>
  <si>
    <t>2026-08-19T15:00</t>
  </si>
  <si>
    <t>2026-08-20T09:15</t>
  </si>
  <si>
    <t>2026-08-20T09:30</t>
  </si>
  <si>
    <t>2026-08-20T09:45</t>
  </si>
  <si>
    <t>2026-08-20T10:00</t>
  </si>
  <si>
    <t>2026-08-20T10:15</t>
  </si>
  <si>
    <t>2026-08-20T10:30</t>
  </si>
  <si>
    <t>2026-08-20T10:45</t>
  </si>
  <si>
    <t>2026-08-20T11:00</t>
  </si>
  <si>
    <t>2026-08-20T11:15</t>
  </si>
  <si>
    <t>2026-08-20T11:30</t>
  </si>
  <si>
    <t>2026-08-20T11:45</t>
  </si>
  <si>
    <t>2026-08-20T12:00</t>
  </si>
  <si>
    <t>2026-08-20T12:15</t>
  </si>
  <si>
    <t>2026-08-20T12:30</t>
  </si>
  <si>
    <t>2026-08-20T12:45</t>
  </si>
  <si>
    <t>2026-08-20T13:00</t>
  </si>
  <si>
    <t>2026-08-20T13:15</t>
  </si>
  <si>
    <t>2026-08-20T13:30</t>
  </si>
  <si>
    <t>2026-08-20T13:45</t>
  </si>
  <si>
    <t>2026-08-20T14:00</t>
  </si>
  <si>
    <t>2026-08-20T14:15</t>
  </si>
  <si>
    <t>2026-08-20T14:30</t>
  </si>
  <si>
    <t>2026-08-20T14:45</t>
  </si>
  <si>
    <t>2026-08-20T15:00</t>
  </si>
  <si>
    <t>2026-08-21T09:15</t>
  </si>
  <si>
    <t>2026-08-21T09:30</t>
  </si>
  <si>
    <t>2026-08-21T09:45</t>
  </si>
  <si>
    <t>2026-08-21T10:00</t>
  </si>
  <si>
    <t>2026-08-21T10:15</t>
  </si>
  <si>
    <t>2026-08-21T10:30</t>
  </si>
  <si>
    <t>2026-08-21T10:45</t>
  </si>
  <si>
    <t>2026-08-21T11:00</t>
  </si>
  <si>
    <t>2026-08-21T11:15</t>
  </si>
  <si>
    <t>2026-08-21T11:30</t>
  </si>
  <si>
    <t>2026-08-21T11:45</t>
  </si>
  <si>
    <t>2026-08-21T12:00</t>
  </si>
  <si>
    <t>2026-08-21T12:15</t>
  </si>
  <si>
    <t>2026-08-21T12:30</t>
  </si>
  <si>
    <t>2026-08-21T12:45</t>
  </si>
  <si>
    <t>2026-08-21T13:00</t>
  </si>
  <si>
    <t>2026-08-21T13:15</t>
  </si>
  <si>
    <t>2026-08-21T13:30</t>
  </si>
  <si>
    <t>2026-08-21T13:45</t>
  </si>
  <si>
    <t>2026-08-21T14:00</t>
  </si>
  <si>
    <t>2026-08-21T14:15</t>
  </si>
  <si>
    <t>2026-08-21T14:30</t>
  </si>
  <si>
    <t>2026-08-21T14:45</t>
  </si>
  <si>
    <t>2026-08-21T15:00</t>
  </si>
  <si>
    <t>2026-08-24T09:15</t>
  </si>
  <si>
    <t>2026-08-24T09:30</t>
  </si>
  <si>
    <t>2026-08-24T09:45</t>
  </si>
  <si>
    <t>2026-08-24T10:00</t>
  </si>
  <si>
    <t>2026-08-24T10:15</t>
  </si>
  <si>
    <t>2026-08-24T10:30</t>
  </si>
  <si>
    <t>2026-08-24T10:45</t>
  </si>
  <si>
    <t>2026-08-24T11:00</t>
  </si>
  <si>
    <t>2026-08-24T11:15</t>
  </si>
  <si>
    <t>2026-08-24T11:30</t>
  </si>
  <si>
    <t>2026-08-24T11:45</t>
  </si>
  <si>
    <t>2026-08-24T12:00</t>
  </si>
  <si>
    <t>2026-08-24T12:15</t>
  </si>
  <si>
    <t>2026-08-24T12:30</t>
  </si>
  <si>
    <t>2026-08-24T12:45</t>
  </si>
  <si>
    <t>2026-08-24T13:00</t>
  </si>
  <si>
    <t>2026-08-24T13:15</t>
  </si>
  <si>
    <t>2026-08-24T13:30</t>
  </si>
  <si>
    <t>2026-08-24T13:45</t>
  </si>
  <si>
    <t>2026-08-24T14:00</t>
  </si>
  <si>
    <t>2026-08-24T14:15</t>
  </si>
  <si>
    <t>2026-08-24T14:30</t>
  </si>
  <si>
    <t>2026-08-24T14:45</t>
  </si>
  <si>
    <t>2026-08-24T15:00</t>
  </si>
  <si>
    <t>2026-08-25T09:15</t>
  </si>
  <si>
    <t>2026-08-25T09:30</t>
  </si>
  <si>
    <t>2026-08-25T09:45</t>
  </si>
  <si>
    <t>2026-08-25T10:00</t>
  </si>
  <si>
    <t>2026-08-25T10:15</t>
  </si>
  <si>
    <t>2026-08-25T10:30</t>
  </si>
  <si>
    <t>2026-08-25T10:45</t>
  </si>
  <si>
    <t>2026-08-25T11:00</t>
  </si>
  <si>
    <t>2026-08-25T11:15</t>
  </si>
  <si>
    <t>2026-08-25T11:30</t>
  </si>
  <si>
    <t>2026-08-25T11:45</t>
  </si>
  <si>
    <t>2026-08-25T12:00</t>
  </si>
  <si>
    <t>2026-08-25T12:15</t>
  </si>
  <si>
    <t>2026-08-25T12:30</t>
  </si>
  <si>
    <t>2026-08-25T12:45</t>
  </si>
  <si>
    <t>2026-08-25T13:00</t>
  </si>
  <si>
    <t>2026-08-25T13:15</t>
  </si>
  <si>
    <t>2026-08-25T13:30</t>
  </si>
  <si>
    <t>2026-08-25T13:45</t>
  </si>
  <si>
    <t>2026-08-25T14:00</t>
  </si>
  <si>
    <t>2026-08-25T14:15</t>
  </si>
  <si>
    <t>2026-08-25T14:30</t>
  </si>
  <si>
    <t>2026-08-25T14:45</t>
  </si>
  <si>
    <t>2026-08-25T15:00</t>
  </si>
  <si>
    <t>2026-08-26T09:15</t>
  </si>
  <si>
    <t>2026-08-26T09:30</t>
  </si>
  <si>
    <t>2026-08-26T09:45</t>
  </si>
  <si>
    <t>2026-08-26T10:00</t>
  </si>
  <si>
    <t>2026-08-26T10:15</t>
  </si>
  <si>
    <t>2026-08-26T10:30</t>
  </si>
  <si>
    <t>2026-08-26T10:45</t>
  </si>
  <si>
    <t>2026-08-26T11:00</t>
  </si>
  <si>
    <t>2026-08-26T11:15</t>
  </si>
  <si>
    <t>2026-08-26T11:30</t>
  </si>
  <si>
    <t>2026-08-26T11:45</t>
  </si>
  <si>
    <t>2026-08-26T12:00</t>
  </si>
  <si>
    <t>2026-08-26T12:15</t>
  </si>
  <si>
    <t>2026-08-26T12:30</t>
  </si>
  <si>
    <t>2026-08-26T12:45</t>
  </si>
  <si>
    <t>2026-08-26T13:00</t>
  </si>
  <si>
    <t>2026-08-26T13:15</t>
  </si>
  <si>
    <t>2026-08-26T13:30</t>
  </si>
  <si>
    <t>2026-08-26T13:45</t>
  </si>
  <si>
    <t>2026-08-26T14:00</t>
  </si>
  <si>
    <t>2026-08-26T14:15</t>
  </si>
  <si>
    <t>2026-08-26T14:30</t>
  </si>
  <si>
    <t>2026-08-26T14:45</t>
  </si>
  <si>
    <t>2026-08-26T15:00</t>
  </si>
  <si>
    <t>2026-08-27T09:15</t>
  </si>
  <si>
    <t>2026-08-27T09:30</t>
  </si>
  <si>
    <t>2026-08-27T09:45</t>
  </si>
  <si>
    <t>2026-08-27T10:00</t>
  </si>
  <si>
    <t>2026-08-27T10:15</t>
  </si>
  <si>
    <t>2026-08-27T10:30</t>
  </si>
  <si>
    <t>2026-08-27T10:45</t>
  </si>
  <si>
    <t>2026-08-27T11:00</t>
  </si>
  <si>
    <t>2026-08-27T11:15</t>
  </si>
  <si>
    <t>2026-08-27T11:30</t>
  </si>
  <si>
    <t>2026-08-27T11:45</t>
  </si>
  <si>
    <t>2026-08-27T12:00</t>
  </si>
  <si>
    <t>2026-08-27T12:15</t>
  </si>
  <si>
    <t>2026-08-27T12:30</t>
  </si>
  <si>
    <t>2026-08-27T12:45</t>
  </si>
  <si>
    <t>2026-08-27T13:00</t>
  </si>
  <si>
    <t>2026-08-27T13:15</t>
  </si>
  <si>
    <t>2026-08-27T13:30</t>
  </si>
  <si>
    <t>2026-08-27T13:45</t>
  </si>
  <si>
    <t>2026-08-27T14:00</t>
  </si>
  <si>
    <t>2026-08-27T14:15</t>
  </si>
  <si>
    <t>2026-08-27T14:30</t>
  </si>
  <si>
    <t>2026-08-27T14:45</t>
  </si>
  <si>
    <t>2026-08-27T15:00</t>
  </si>
  <si>
    <t>2026-08-28T09:15</t>
  </si>
  <si>
    <t>2026-08-28T09:30</t>
  </si>
  <si>
    <t>2026-08-28T09:45</t>
  </si>
  <si>
    <t>2026-08-28T10:00</t>
  </si>
  <si>
    <t>2026-08-28T10:15</t>
  </si>
  <si>
    <t>2026-08-28T10:30</t>
  </si>
  <si>
    <t>2026-08-28T10:45</t>
  </si>
  <si>
    <t>2026-08-28T11:00</t>
  </si>
  <si>
    <t>2026-08-28T11:15</t>
  </si>
  <si>
    <t>2026-08-28T11:30</t>
  </si>
  <si>
    <t>2026-08-28T11:45</t>
  </si>
  <si>
    <t>2026-08-28T12:00</t>
  </si>
  <si>
    <t>2026-08-28T12:15</t>
  </si>
  <si>
    <t>2026-08-28T12:30</t>
  </si>
  <si>
    <t>2026-08-28T12:45</t>
  </si>
  <si>
    <t>2026-08-28T13:00</t>
  </si>
  <si>
    <t>2026-08-28T13:15</t>
  </si>
  <si>
    <t>2026-08-28T13:30</t>
  </si>
  <si>
    <t>2026-08-28T13:45</t>
  </si>
  <si>
    <t>2026-08-28T14:00</t>
  </si>
  <si>
    <t>2026-08-28T14:15</t>
  </si>
  <si>
    <t>2026-08-28T14:30</t>
  </si>
  <si>
    <t>2026-08-28T14:45</t>
  </si>
  <si>
    <t>2026-08-28T15:00</t>
  </si>
  <si>
    <t>2026-08-31T09:15</t>
  </si>
  <si>
    <t>2026-08-31T09:30</t>
  </si>
  <si>
    <t>2026-08-31T09:45</t>
  </si>
  <si>
    <t>2026-08-31T10:00</t>
  </si>
  <si>
    <t>2026-08-31T10:15</t>
  </si>
  <si>
    <t>2026-08-31T10:30</t>
  </si>
  <si>
    <t>2026-08-31T10:45</t>
  </si>
  <si>
    <t>2026-08-31T11:00</t>
  </si>
  <si>
    <t>2026-08-31T11:15</t>
  </si>
  <si>
    <t>2026-08-31T11:30</t>
  </si>
  <si>
    <t>2026-08-31T11:45</t>
  </si>
  <si>
    <t>2026-08-31T12:00</t>
  </si>
  <si>
    <t>2026-08-31T12:15</t>
  </si>
  <si>
    <t>2026-08-31T12:30</t>
  </si>
  <si>
    <t>2026-08-31T12:45</t>
  </si>
  <si>
    <t>2026-08-31T13:00</t>
  </si>
  <si>
    <t>2026-08-31T13:15</t>
  </si>
  <si>
    <t>2026-08-31T13:30</t>
  </si>
  <si>
    <t>2026-08-31T13:45</t>
  </si>
  <si>
    <t>2026-08-31T14:00</t>
  </si>
  <si>
    <t>2026-08-31T14:15</t>
  </si>
  <si>
    <t>2026-08-31T14:30</t>
  </si>
  <si>
    <t>2026-08-31T14:45</t>
  </si>
  <si>
    <t>2026-08-31T15:00</t>
  </si>
  <si>
    <t>2026-09-01T09:15</t>
  </si>
  <si>
    <t>2026-09-01T09:30</t>
  </si>
  <si>
    <t>2026-09-01T09:45</t>
  </si>
  <si>
    <t>2026-09-01T10:00</t>
  </si>
  <si>
    <t>2026-09-01T10:15</t>
  </si>
  <si>
    <t>2026-09-01T10:30</t>
  </si>
  <si>
    <t>2026-09-01T10:45</t>
  </si>
  <si>
    <t>2026-09-01T11:00</t>
  </si>
  <si>
    <t>2026-09-01T11:15</t>
  </si>
  <si>
    <t>2026-09-01T11:30</t>
  </si>
  <si>
    <t>2026-09-01T11:45</t>
  </si>
  <si>
    <t>2026-09-01T12:00</t>
  </si>
  <si>
    <t>2026-09-01T12:15</t>
  </si>
  <si>
    <t>2026-09-01T12:30</t>
  </si>
  <si>
    <t>2026-09-01T12:45</t>
  </si>
  <si>
    <t>2026-09-01T13:00</t>
  </si>
  <si>
    <t>2026-09-01T13:15</t>
  </si>
  <si>
    <t>2026-09-01T13:30</t>
  </si>
  <si>
    <t>2026-09-01T13:45</t>
  </si>
  <si>
    <t>2026-09-01T14:00</t>
  </si>
  <si>
    <t>2026-09-01T14:15</t>
  </si>
  <si>
    <t>2026-09-01T14:30</t>
  </si>
  <si>
    <t>2026-09-01T14:45</t>
  </si>
  <si>
    <t>2026-09-01T15:00</t>
  </si>
  <si>
    <t>2026-09-02T09:15</t>
  </si>
  <si>
    <t>2026-09-02T09:30</t>
  </si>
  <si>
    <t>2026-09-02T09:45</t>
  </si>
  <si>
    <t>2026-09-02T10:00</t>
  </si>
  <si>
    <t>2026-09-02T10:15</t>
  </si>
  <si>
    <t>2026-09-02T10:30</t>
  </si>
  <si>
    <t>2026-09-02T10:45</t>
  </si>
  <si>
    <t>2026-09-02T11:00</t>
  </si>
  <si>
    <t>2026-09-02T11:15</t>
  </si>
  <si>
    <t>2026-09-02T11:30</t>
  </si>
  <si>
    <t>2026-09-02T11:45</t>
  </si>
  <si>
    <t>2026-09-02T12:00</t>
  </si>
  <si>
    <t>2026-09-02T12:15</t>
  </si>
  <si>
    <t>2026-09-02T12:30</t>
  </si>
  <si>
    <t>2026-09-02T12:45</t>
  </si>
  <si>
    <t>2026-09-02T13:00</t>
  </si>
  <si>
    <t>2026-09-02T13:15</t>
  </si>
  <si>
    <t>2026-09-02T13:30</t>
  </si>
  <si>
    <t>2026-09-02T13:45</t>
  </si>
  <si>
    <t>2026-09-02T14:00</t>
  </si>
  <si>
    <t>2026-09-02T14:15</t>
  </si>
  <si>
    <t>2026-09-02T14:30</t>
  </si>
  <si>
    <t>2026-09-02T14:45</t>
  </si>
  <si>
    <t>2026-09-02T15:00</t>
  </si>
  <si>
    <t>2026-09-03T09:15</t>
  </si>
  <si>
    <t>2026-09-03T09:30</t>
  </si>
  <si>
    <t>2026-09-03T09:45</t>
  </si>
  <si>
    <t>2026-09-03T10:00</t>
  </si>
  <si>
    <t>2026-09-03T10:15</t>
  </si>
  <si>
    <t>2026-09-03T10:30</t>
  </si>
  <si>
    <t>2026-09-03T10:45</t>
  </si>
  <si>
    <t>2026-09-03T11:00</t>
  </si>
  <si>
    <t>2026-09-03T11:15</t>
  </si>
  <si>
    <t>2026-09-03T11:30</t>
  </si>
  <si>
    <t>2026-09-03T11:45</t>
  </si>
  <si>
    <t>2026-09-03T12:00</t>
  </si>
  <si>
    <t>2026-09-03T12:15</t>
  </si>
  <si>
    <t>2026-09-03T12:30</t>
  </si>
  <si>
    <t>2026-09-03T12:45</t>
  </si>
  <si>
    <t>2026-09-03T13:00</t>
  </si>
  <si>
    <t>2026-09-03T13:15</t>
  </si>
  <si>
    <t>2026-09-03T13:30</t>
  </si>
  <si>
    <t>2026-09-03T13:45</t>
  </si>
  <si>
    <t>2026-09-03T14:00</t>
  </si>
  <si>
    <t>2026-09-03T14:15</t>
  </si>
  <si>
    <t>2026-09-03T14:30</t>
  </si>
  <si>
    <t>2026-09-03T14:45</t>
  </si>
  <si>
    <t>2026-09-03T15:00</t>
  </si>
  <si>
    <t>2026-09-04T09:15</t>
  </si>
  <si>
    <t>2026-09-04T09:30</t>
  </si>
  <si>
    <t>2026-09-04T09:45</t>
  </si>
  <si>
    <t>2026-09-04T10:00</t>
  </si>
  <si>
    <t>2026-09-04T10:15</t>
  </si>
  <si>
    <t>2026-09-04T10:30</t>
  </si>
  <si>
    <t>2026-09-04T10:45</t>
  </si>
  <si>
    <t>2026-09-04T11:00</t>
  </si>
  <si>
    <t>2026-09-04T11:15</t>
  </si>
  <si>
    <t>2026-09-04T11:30</t>
  </si>
  <si>
    <t>2026-09-04T11:45</t>
  </si>
  <si>
    <t>2026-09-04T12:00</t>
  </si>
  <si>
    <t>2026-09-04T12:15</t>
  </si>
  <si>
    <t>2026-09-04T12:30</t>
  </si>
  <si>
    <t>2026-09-04T12:45</t>
  </si>
  <si>
    <t>2026-09-04T13:00</t>
  </si>
  <si>
    <t>2026-09-04T13:15</t>
  </si>
  <si>
    <t>2026-09-04T13:30</t>
  </si>
  <si>
    <t>2026-09-04T13:45</t>
  </si>
  <si>
    <t>2026-09-04T14:00</t>
  </si>
  <si>
    <t>2026-09-04T14:15</t>
  </si>
  <si>
    <t>2026-09-04T14:30</t>
  </si>
  <si>
    <t>2026-09-04T14:45</t>
  </si>
  <si>
    <t>2026-09-04T15:00</t>
  </si>
  <si>
    <t>2026-09-07T09:15</t>
  </si>
  <si>
    <t>2026-09-07T09:30</t>
  </si>
  <si>
    <t>2026-09-07T09:45</t>
  </si>
  <si>
    <t>2026-09-07T10:00</t>
  </si>
  <si>
    <t>2026-09-07T10:15</t>
  </si>
  <si>
    <t>2026-09-07T10:30</t>
  </si>
  <si>
    <t>2026-09-07T10:45</t>
  </si>
  <si>
    <t>2026-09-07T11:00</t>
  </si>
  <si>
    <t>2026-09-07T11:15</t>
  </si>
  <si>
    <t>2026-09-07T11:30</t>
  </si>
  <si>
    <t>2026-09-07T11:45</t>
  </si>
  <si>
    <t>2026-09-07T12:00</t>
  </si>
  <si>
    <t>2026-09-07T12:15</t>
  </si>
  <si>
    <t>2026-09-07T12:30</t>
  </si>
  <si>
    <t>2026-09-07T12:45</t>
  </si>
  <si>
    <t>2026-09-07T13:00</t>
  </si>
  <si>
    <t>2026-09-07T13:15</t>
  </si>
  <si>
    <t>2026-09-07T13:30</t>
  </si>
  <si>
    <t>2026-09-07T13:45</t>
  </si>
  <si>
    <t>2026-09-07T14:00</t>
  </si>
  <si>
    <t>2026-09-07T14:15</t>
  </si>
  <si>
    <t>2026-09-07T14:30</t>
  </si>
  <si>
    <t>2026-09-07T14:45</t>
  </si>
  <si>
    <t>2026-09-07T15:00</t>
  </si>
  <si>
    <t>2026-09-08T09:15</t>
  </si>
  <si>
    <t>2026-09-08T09:30</t>
  </si>
  <si>
    <t>2026-09-08T09:45</t>
  </si>
  <si>
    <t>2026-09-08T10:00</t>
  </si>
  <si>
    <t>2026-09-08T10:15</t>
  </si>
  <si>
    <t>2026-09-08T10:30</t>
  </si>
  <si>
    <t>2026-09-08T10:45</t>
  </si>
  <si>
    <t>2026-09-08T11:00</t>
  </si>
  <si>
    <t>2026-09-08T11:15</t>
  </si>
  <si>
    <t>2026-09-08T11:30</t>
  </si>
  <si>
    <t>2026-09-08T11:45</t>
  </si>
  <si>
    <t>2026-09-08T12:00</t>
  </si>
  <si>
    <t>2026-09-08T12:15</t>
  </si>
  <si>
    <t>2026-09-08T12:30</t>
  </si>
  <si>
    <t>2026-09-08T12:45</t>
  </si>
  <si>
    <t>2026-09-08T13:00</t>
  </si>
  <si>
    <t>2026-09-08T13:15</t>
  </si>
  <si>
    <t>2026-09-08T13:30</t>
  </si>
  <si>
    <t>2026-09-08T13:45</t>
  </si>
  <si>
    <t>2026-09-08T14:00</t>
  </si>
  <si>
    <t>2026-09-08T14:15</t>
  </si>
  <si>
    <t>2026-09-08T14:30</t>
  </si>
  <si>
    <t>2026-09-08T14:45</t>
  </si>
  <si>
    <t>2026-09-08T15:00</t>
  </si>
  <si>
    <t>2026-09-09T09:15</t>
  </si>
  <si>
    <t>2026-09-09T09:30</t>
  </si>
  <si>
    <t>2026-09-09T09:45</t>
  </si>
  <si>
    <t>2026-09-09T10:00</t>
  </si>
  <si>
    <t>2026-09-09T10:15</t>
  </si>
  <si>
    <t>2026-09-09T10:30</t>
  </si>
  <si>
    <t>2026-09-09T10:45</t>
  </si>
  <si>
    <t>2026-09-09T11:00</t>
  </si>
  <si>
    <t>2026-09-09T11:15</t>
  </si>
  <si>
    <t>2026-09-09T11:30</t>
  </si>
  <si>
    <t>2026-09-09T11:45</t>
  </si>
  <si>
    <t>2026-09-09T12:00</t>
  </si>
  <si>
    <t>2026-09-09T12:15</t>
  </si>
  <si>
    <t>2026-09-09T12:30</t>
  </si>
  <si>
    <t>2026-09-09T12:45</t>
  </si>
  <si>
    <t>2026-09-09T13:00</t>
  </si>
  <si>
    <t>2026-09-09T13:15</t>
  </si>
  <si>
    <t>2026-09-09T13:30</t>
  </si>
  <si>
    <t>2026-09-09T13:45</t>
  </si>
  <si>
    <t>2026-09-09T14:00</t>
  </si>
  <si>
    <t>2026-09-09T14:15</t>
  </si>
  <si>
    <t>2026-09-09T14:30</t>
  </si>
  <si>
    <t>2026-09-09T14:45</t>
  </si>
  <si>
    <t>2026-09-09T15:00</t>
  </si>
  <si>
    <t>2026-09-10T09:15</t>
  </si>
  <si>
    <t>2026-09-10T09:30</t>
  </si>
  <si>
    <t>2026-09-10T09:45</t>
  </si>
  <si>
    <t>2026-09-10T10:00</t>
  </si>
  <si>
    <t>2026-09-10T10:15</t>
  </si>
  <si>
    <t>2026-09-10T10:30</t>
  </si>
  <si>
    <t>2026-09-10T10:45</t>
  </si>
  <si>
    <t>2026-09-10T11:00</t>
  </si>
  <si>
    <t>2026-09-10T11:15</t>
  </si>
  <si>
    <t>2026-09-10T11:30</t>
  </si>
  <si>
    <t>2026-09-10T11:45</t>
  </si>
  <si>
    <t>2026-09-10T12:00</t>
  </si>
  <si>
    <t>2026-09-10T12:15</t>
  </si>
  <si>
    <t>2026-09-10T12:30</t>
  </si>
  <si>
    <t>2026-09-10T12:45</t>
  </si>
  <si>
    <t>2026-09-10T13:00</t>
  </si>
  <si>
    <t>2026-09-10T13:15</t>
  </si>
  <si>
    <t>2026-09-10T13:30</t>
  </si>
  <si>
    <t>2026-09-10T13:45</t>
  </si>
  <si>
    <t>2026-09-10T14:00</t>
  </si>
  <si>
    <t>2026-09-10T14:15</t>
  </si>
  <si>
    <t>2026-09-10T14:30</t>
  </si>
  <si>
    <t>2026-09-10T14:45</t>
  </si>
  <si>
    <t>2026-09-10T15:00</t>
  </si>
  <si>
    <t>2026-09-11T09:15</t>
  </si>
  <si>
    <t>2026-09-11T09:30</t>
  </si>
  <si>
    <t>2026-09-11T09:45</t>
  </si>
  <si>
    <t>2026-09-11T10:00</t>
  </si>
  <si>
    <t>2026-09-11T10:15</t>
  </si>
  <si>
    <t>2026-09-11T10:30</t>
  </si>
  <si>
    <t>2026-09-11T10:45</t>
  </si>
  <si>
    <t>2026-09-11T11:00</t>
  </si>
  <si>
    <t>2026-09-11T11:15</t>
  </si>
  <si>
    <t>2026-09-11T11:30</t>
  </si>
  <si>
    <t>2026-09-11T11:45</t>
  </si>
  <si>
    <t>2026-09-11T12:00</t>
  </si>
  <si>
    <t>2026-09-11T12:15</t>
  </si>
  <si>
    <t>2026-09-11T12:30</t>
  </si>
  <si>
    <t>2026-09-11T12:45</t>
  </si>
  <si>
    <t>2026-09-11T13:00</t>
  </si>
  <si>
    <t>2026-09-11T13:15</t>
  </si>
  <si>
    <t>2026-09-11T13:30</t>
  </si>
  <si>
    <t>2026-09-11T13:45</t>
  </si>
  <si>
    <t>2026-09-11T14:00</t>
  </si>
  <si>
    <t>2026-09-11T14:15</t>
  </si>
  <si>
    <t>2026-09-11T14:30</t>
  </si>
  <si>
    <t>2026-09-11T14:45</t>
  </si>
  <si>
    <t>2026-09-11T15:00</t>
  </si>
  <si>
    <t>2026-09-15T09:15</t>
  </si>
  <si>
    <t>2026-09-15T09:30</t>
  </si>
  <si>
    <t>2026-09-15T09:45</t>
  </si>
  <si>
    <t>2026-09-15T10:00</t>
  </si>
  <si>
    <t>2026-09-15T10:15</t>
  </si>
  <si>
    <t>2026-09-15T10:30</t>
  </si>
  <si>
    <t>2026-09-15T10:45</t>
  </si>
  <si>
    <t>2026-09-15T11:00</t>
  </si>
  <si>
    <t>2026-09-15T11:15</t>
  </si>
  <si>
    <t>2026-09-15T11:30</t>
  </si>
  <si>
    <t>2026-09-15T11:45</t>
  </si>
  <si>
    <t>2026-09-15T12:00</t>
  </si>
  <si>
    <t>2026-09-15T12:15</t>
  </si>
  <si>
    <t>2026-09-15T12:30</t>
  </si>
  <si>
    <t>2026-09-15T12:45</t>
  </si>
  <si>
    <t>2026-09-15T13:00</t>
  </si>
  <si>
    <t>2026-09-15T13:15</t>
  </si>
  <si>
    <t>2026-09-15T13:30</t>
  </si>
  <si>
    <t>2026-09-15T13:45</t>
  </si>
  <si>
    <t>2026-09-15T14:00</t>
  </si>
  <si>
    <t>2026-09-15T14:15</t>
  </si>
  <si>
    <t>2026-09-15T14:30</t>
  </si>
  <si>
    <t>2026-09-15T14:45</t>
  </si>
  <si>
    <t>2026-09-15T15:00</t>
  </si>
  <si>
    <t>2026-09-16T09:15</t>
  </si>
  <si>
    <t>2026-09-16T09:30</t>
  </si>
  <si>
    <t>2026-09-16T09:45</t>
  </si>
  <si>
    <t>2026-09-16T10:00</t>
  </si>
  <si>
    <t>2026-09-16T10:15</t>
  </si>
  <si>
    <t>2026-09-16T10:30</t>
  </si>
  <si>
    <t>2026-09-16T10:45</t>
  </si>
  <si>
    <t>2026-09-16T11:00</t>
  </si>
  <si>
    <t>2026-09-16T11:15</t>
  </si>
  <si>
    <t>2026-09-16T11:30</t>
  </si>
  <si>
    <t>2026-09-16T11:45</t>
  </si>
  <si>
    <t>2026-09-16T12:00</t>
  </si>
  <si>
    <t>2026-09-16T12:15</t>
  </si>
  <si>
    <t>2026-09-16T12:30</t>
  </si>
  <si>
    <t>2026-09-16T12:45</t>
  </si>
  <si>
    <t>2026-09-16T13:00</t>
  </si>
  <si>
    <t>2026-09-16T13:15</t>
  </si>
  <si>
    <t>2026-09-16T13:30</t>
  </si>
  <si>
    <t>2026-09-16T13:45</t>
  </si>
  <si>
    <t>2026-09-16T14:00</t>
  </si>
  <si>
    <t>2026-09-16T14:15</t>
  </si>
  <si>
    <t>2026-09-16T14:30</t>
  </si>
  <si>
    <t>2026-09-16T14:45</t>
  </si>
  <si>
    <t>2026-09-16T15:00</t>
  </si>
  <si>
    <t>2026-09-17T09:15</t>
  </si>
  <si>
    <t>2026-09-17T09:30</t>
  </si>
  <si>
    <t>2026-09-17T09:45</t>
  </si>
  <si>
    <t>2026-09-17T10:00</t>
  </si>
  <si>
    <t>2026-09-17T10:15</t>
  </si>
  <si>
    <t>2026-09-17T10:30</t>
  </si>
  <si>
    <t>2026-09-17T10:45</t>
  </si>
  <si>
    <t>2026-09-17T11:00</t>
  </si>
  <si>
    <t>2026-09-17T11:15</t>
  </si>
  <si>
    <t>2026-09-17T11:30</t>
  </si>
  <si>
    <t>2026-09-17T11:45</t>
  </si>
  <si>
    <t>2026-09-17T12:00</t>
  </si>
  <si>
    <t>2026-09-17T12:15</t>
  </si>
  <si>
    <t>2026-09-17T12:30</t>
  </si>
  <si>
    <t>2026-09-17T12:45</t>
  </si>
  <si>
    <t>2026-09-17T13:00</t>
  </si>
  <si>
    <t>2026-09-17T13:15</t>
  </si>
  <si>
    <t>2026-09-17T13:30</t>
  </si>
  <si>
    <t>2026-09-17T13:45</t>
  </si>
  <si>
    <t>2026-09-17T14:00</t>
  </si>
  <si>
    <t>2026-09-17T14:15</t>
  </si>
  <si>
    <t>2026-09-17T14:30</t>
  </si>
  <si>
    <t>2026-09-17T14:45</t>
  </si>
  <si>
    <t>2026-09-17T15:00</t>
  </si>
  <si>
    <t>2026-09-18T09:15</t>
  </si>
  <si>
    <t>2026-09-18T09:30</t>
  </si>
  <si>
    <t>2026-09-18T09:45</t>
  </si>
  <si>
    <t>2026-09-18T10:00</t>
  </si>
  <si>
    <t>2026-09-18T10:15</t>
  </si>
  <si>
    <t>2026-09-18T10:30</t>
  </si>
  <si>
    <t>2026-09-18T10:45</t>
  </si>
  <si>
    <t>2026-09-18T11:00</t>
  </si>
  <si>
    <t>2026-09-18T11:15</t>
  </si>
  <si>
    <t>2026-09-18T11:30</t>
  </si>
  <si>
    <t>2026-09-18T11:45</t>
  </si>
  <si>
    <t>2026-09-18T12:00</t>
  </si>
  <si>
    <t>2026-09-18T12:15</t>
  </si>
  <si>
    <t>2026-09-18T12:30</t>
  </si>
  <si>
    <t>2026-09-18T12:45</t>
  </si>
  <si>
    <t>2026-09-18T13:00</t>
  </si>
  <si>
    <t>2026-09-18T13:15</t>
  </si>
  <si>
    <t>2026-09-18T13:30</t>
  </si>
  <si>
    <t>2026-09-18T13:45</t>
  </si>
  <si>
    <t>2026-09-18T14:00</t>
  </si>
  <si>
    <t>2026-09-18T14:15</t>
  </si>
  <si>
    <t>2026-09-18T14:30</t>
  </si>
  <si>
    <t>2026-09-18T14:45</t>
  </si>
  <si>
    <t>2026-09-18T15:00</t>
  </si>
  <si>
    <t>2026-09-21T09:15</t>
  </si>
  <si>
    <t>2026-09-21T09:30</t>
  </si>
  <si>
    <t>2026-09-21T09:45</t>
  </si>
  <si>
    <t>2026-09-21T10:00</t>
  </si>
  <si>
    <t>2026-09-21T10:15</t>
  </si>
  <si>
    <t>2026-09-21T10:30</t>
  </si>
  <si>
    <t>2026-09-21T10:45</t>
  </si>
  <si>
    <t>2026-09-21T11:00</t>
  </si>
  <si>
    <t>2026-09-21T11:15</t>
  </si>
  <si>
    <t>2026-09-21T11:30</t>
  </si>
  <si>
    <t>2026-09-21T11:45</t>
  </si>
  <si>
    <t>2026-09-21T12:00</t>
  </si>
  <si>
    <t>2026-09-21T12:15</t>
  </si>
  <si>
    <t>2026-09-21T12:30</t>
  </si>
  <si>
    <t>2026-09-21T12:45</t>
  </si>
  <si>
    <t>2026-09-21T13:00</t>
  </si>
  <si>
    <t>2026-09-21T13:15</t>
  </si>
  <si>
    <t>2026-09-21T13:30</t>
  </si>
  <si>
    <t>2026-09-21T13:45</t>
  </si>
  <si>
    <t>2026-09-21T14:00</t>
  </si>
  <si>
    <t>2026-09-21T14:15</t>
  </si>
  <si>
    <t>2026-09-21T14:30</t>
  </si>
  <si>
    <t>2026-09-21T14:45</t>
  </si>
  <si>
    <t>2026-09-21T15:00</t>
  </si>
  <si>
    <t>2026-09-22T09:15</t>
  </si>
  <si>
    <t>2026-09-22T09:30</t>
  </si>
  <si>
    <t>2026-09-22T09:45</t>
  </si>
  <si>
    <t>2026-09-22T10:00</t>
  </si>
  <si>
    <t>2026-09-22T10:15</t>
  </si>
  <si>
    <t>2026-09-22T10:30</t>
  </si>
  <si>
    <t>2026-09-22T10:45</t>
  </si>
  <si>
    <t>2026-09-22T11:00</t>
  </si>
  <si>
    <t>2026-09-22T11:15</t>
  </si>
  <si>
    <t>2026-09-22T11:30</t>
  </si>
  <si>
    <t>2026-09-22T11:45</t>
  </si>
  <si>
    <t>2026-09-22T12:00</t>
  </si>
  <si>
    <t>2026-09-22T12:15</t>
  </si>
  <si>
    <t>2026-09-22T12:30</t>
  </si>
  <si>
    <t>2026-09-22T12:45</t>
  </si>
  <si>
    <t>2026-09-22T13:00</t>
  </si>
  <si>
    <t>2026-09-22T13:15</t>
  </si>
  <si>
    <t>2026-09-22T13:30</t>
  </si>
  <si>
    <t>2026-09-22T13:45</t>
  </si>
  <si>
    <t>2026-09-22T14:00</t>
  </si>
  <si>
    <t>2026-09-22T14:15</t>
  </si>
  <si>
    <t>2026-09-22T14:30</t>
  </si>
  <si>
    <t>2026-09-22T14:45</t>
  </si>
  <si>
    <t>2026-09-22T15:00</t>
  </si>
  <si>
    <t>2026-09-23T09:15</t>
  </si>
  <si>
    <t>2026-09-23T09:30</t>
  </si>
  <si>
    <t>2026-09-23T09:45</t>
  </si>
  <si>
    <t>2026-09-23T10:00</t>
  </si>
  <si>
    <t>2026-09-23T10:15</t>
  </si>
  <si>
    <t>2026-09-23T10:30</t>
  </si>
  <si>
    <t>2026-09-23T10:45</t>
  </si>
  <si>
    <t>2026-09-23T11:00</t>
  </si>
  <si>
    <t>2026-09-23T11:15</t>
  </si>
  <si>
    <t>2026-09-23T11:30</t>
  </si>
  <si>
    <t>2026-09-23T11:45</t>
  </si>
  <si>
    <t>2026-09-23T12:00</t>
  </si>
  <si>
    <t>2026-09-23T12:15</t>
  </si>
  <si>
    <t>2026-09-23T12:30</t>
  </si>
  <si>
    <t>2026-09-23T12:45</t>
  </si>
  <si>
    <t>2026-09-23T13:00</t>
  </si>
  <si>
    <t>2026-09-23T13:15</t>
  </si>
  <si>
    <t>2026-09-23T13:30</t>
  </si>
  <si>
    <t>2026-09-23T13:45</t>
  </si>
  <si>
    <t>2026-09-23T14:00</t>
  </si>
  <si>
    <t>2026-09-23T14:15</t>
  </si>
  <si>
    <t>2026-09-23T14:30</t>
  </si>
  <si>
    <t>2026-09-23T14:45</t>
  </si>
  <si>
    <t>2026-09-23T15:00</t>
  </si>
  <si>
    <t>Avg TR (all)</t>
  </si>
  <si>
    <t>Avg TR (excl 09:15)</t>
  </si>
  <si>
    <t>Avg Wilder ATR</t>
  </si>
  <si>
    <t>2026-06</t>
  </si>
  <si>
    <t>2026-07</t>
  </si>
  <si>
    <t>2026-08</t>
  </si>
  <si>
    <t>2026-09</t>
  </si>
  <si>
    <t>WilderATR14(35)</t>
  </si>
  <si>
    <t>TR(35)</t>
  </si>
  <si>
    <t>June</t>
  </si>
  <si>
    <t>July</t>
  </si>
  <si>
    <t>August</t>
  </si>
  <si>
    <t>September*</t>
  </si>
  <si>
    <t>5m Avg TR (all)</t>
  </si>
  <si>
    <t>15m Avg TR (all)</t>
  </si>
  <si>
    <t>5m Avg TR (excl 09:15)</t>
  </si>
  <si>
    <t>15m Avg TR (excl 09:15)</t>
  </si>
  <si>
    <t>5m Avg Wilder ATR</t>
  </si>
  <si>
    <t>15m Avg Wilder ATR</t>
  </si>
  <si>
    <t>5m ATR month-end</t>
  </si>
  <si>
    <t>15m ATR month-end</t>
  </si>
  <si>
    <t>Measure (09:22–15:00 window)</t>
  </si>
  <si>
    <t>5-min</t>
  </si>
  <si>
    <t>15-min</t>
  </si>
  <si>
    <t>Average candle</t>
  </si>
  <si>
    <t>Typical (median) candle</t>
  </si>
  <si>
    <t>Big candle (80th percentile)</t>
  </si>
  <si>
    <t>June avg</t>
  </si>
  <si>
    <t>July avg</t>
  </si>
  <si>
    <t>August avg</t>
  </si>
  <si>
    <t>September avg</t>
  </si>
  <si>
    <t>Except first candle and before 3 pm, Anything beyond about 23 (5m) or 39 (15m) in one candle is a genuinely large mov</t>
  </si>
  <si>
    <t>Market mood</t>
  </si>
  <si>
    <t>5-min unit</t>
  </si>
  <si>
    <t>15-min unit</t>
  </si>
  <si>
    <t>When</t>
  </si>
  <si>
    <t>Quiet</t>
  </si>
  <si>
    <t>ATR well below normal, VIX low (like August)</t>
  </si>
  <si>
    <t>Normal</t>
  </si>
  <si>
    <t>Your baseline</t>
  </si>
  <si>
    <t>Busy</t>
  </si>
  <si>
    <t>ATR high, VIX rising, event days (like 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</si>
</sst>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8"/>
  <sheetViews>
    <sheetView tabSelected="1" topLeftCell="E1" workbookViewId="0">
      <selection activeCell="O13" sqref="O13"/>
    </sheetView>
  </sheetViews>
  <sheetFormatPr defaultRowHeight="15" x14ac:dyDescent="0.25"/>
  <cols>
    <col min="1" max="1" width="20" customWidth="1"/>
    <col min="2" max="6" width="14" customWidth="1"/>
    <col min="7" max="7" width="16.140625" bestFit="1" customWidth="1"/>
    <col min="8" max="9" width="14" customWidth="1"/>
    <col min="12" max="12" width="42.7109375" bestFit="1" customWidth="1"/>
    <col min="13" max="13" width="14.140625" bestFit="1" customWidth="1"/>
    <col min="14" max="14" width="17.5703125" bestFit="1" customWidth="1"/>
    <col min="15" max="15" width="36.140625" customWidth="1"/>
    <col min="16" max="16" width="21.85546875" bestFit="1" customWidth="1"/>
    <col min="17" max="17" width="18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2052</v>
      </c>
      <c r="G1" s="1" t="s">
        <v>2051</v>
      </c>
      <c r="H1" s="1" t="s">
        <v>5</v>
      </c>
      <c r="I1" s="1" t="s">
        <v>6</v>
      </c>
    </row>
    <row r="2" spans="1:20" ht="21" x14ac:dyDescent="0.25">
      <c r="A2" t="s">
        <v>7</v>
      </c>
      <c r="B2">
        <v>23883.1</v>
      </c>
      <c r="C2">
        <v>23919.05</v>
      </c>
      <c r="D2">
        <v>23874.95</v>
      </c>
      <c r="E2">
        <v>23908.3</v>
      </c>
      <c r="F2" s="2">
        <f>C2-D2</f>
        <v>44.099999999998545</v>
      </c>
      <c r="G2" s="3"/>
      <c r="H2" t="str">
        <f t="shared" ref="H2:H65" si="0">LEFT(A2,7)</f>
        <v>2026-05</v>
      </c>
      <c r="I2">
        <v>2</v>
      </c>
      <c r="L2" s="11" t="s">
        <v>2076</v>
      </c>
      <c r="M2" s="11" t="s">
        <v>2077</v>
      </c>
      <c r="N2" s="11" t="s">
        <v>2078</v>
      </c>
      <c r="O2" s="14" t="s">
        <v>2079</v>
      </c>
    </row>
    <row r="3" spans="1:20" ht="43.5" customHeight="1" x14ac:dyDescent="0.25">
      <c r="A3" t="s">
        <v>8</v>
      </c>
      <c r="B3">
        <v>23908.6</v>
      </c>
      <c r="C3">
        <v>23909.65</v>
      </c>
      <c r="D3">
        <v>23871.3</v>
      </c>
      <c r="E3">
        <v>23874.95</v>
      </c>
      <c r="F3" s="2">
        <f t="shared" ref="F3:F66" si="1">MAX(C3-D3,ABS(C3-E2),ABS(D3-E2))</f>
        <v>38.350000000002183</v>
      </c>
      <c r="G3" s="3"/>
      <c r="H3" t="str">
        <f t="shared" si="0"/>
        <v>2026-05</v>
      </c>
      <c r="I3">
        <v>3</v>
      </c>
      <c r="L3" s="12" t="s">
        <v>2080</v>
      </c>
      <c r="M3" s="12">
        <v>14</v>
      </c>
      <c r="N3" s="12">
        <v>24</v>
      </c>
      <c r="O3" s="15" t="s">
        <v>2081</v>
      </c>
    </row>
    <row r="4" spans="1:20" ht="21" x14ac:dyDescent="0.25">
      <c r="A4" t="s">
        <v>9</v>
      </c>
      <c r="B4">
        <v>23874.75</v>
      </c>
      <c r="C4">
        <v>23946.400000000001</v>
      </c>
      <c r="D4">
        <v>23868.5</v>
      </c>
      <c r="E4">
        <v>23943.25</v>
      </c>
      <c r="F4" s="2">
        <f t="shared" si="1"/>
        <v>77.900000000001455</v>
      </c>
      <c r="G4" s="3"/>
      <c r="H4" t="str">
        <f t="shared" si="0"/>
        <v>2026-05</v>
      </c>
      <c r="I4">
        <v>3</v>
      </c>
      <c r="L4" s="13" t="s">
        <v>2082</v>
      </c>
      <c r="M4" s="13">
        <v>18</v>
      </c>
      <c r="N4" s="13">
        <v>31</v>
      </c>
      <c r="O4" s="15" t="s">
        <v>2083</v>
      </c>
    </row>
    <row r="5" spans="1:20" ht="33.75" customHeight="1" x14ac:dyDescent="0.25">
      <c r="A5" t="s">
        <v>10</v>
      </c>
      <c r="B5">
        <v>23942.799999999999</v>
      </c>
      <c r="C5">
        <v>23971</v>
      </c>
      <c r="D5">
        <v>23934.7</v>
      </c>
      <c r="E5">
        <v>23963.200000000001</v>
      </c>
      <c r="F5" s="2">
        <f t="shared" si="1"/>
        <v>36.299999999999272</v>
      </c>
      <c r="G5" s="3"/>
      <c r="H5" t="str">
        <f t="shared" si="0"/>
        <v>2026-05</v>
      </c>
      <c r="I5">
        <v>3</v>
      </c>
      <c r="L5" s="12" t="s">
        <v>2084</v>
      </c>
      <c r="M5" s="12">
        <v>22</v>
      </c>
      <c r="N5" s="12">
        <v>39</v>
      </c>
      <c r="O5" s="15" t="s">
        <v>2085</v>
      </c>
    </row>
    <row r="6" spans="1:20" x14ac:dyDescent="0.25">
      <c r="A6" t="s">
        <v>11</v>
      </c>
      <c r="B6">
        <v>23963.4</v>
      </c>
      <c r="C6">
        <v>23971.05</v>
      </c>
      <c r="D6">
        <v>23934.45</v>
      </c>
      <c r="E6">
        <v>23935.95</v>
      </c>
      <c r="F6" s="2">
        <f t="shared" si="1"/>
        <v>36.599999999998545</v>
      </c>
      <c r="G6" s="3"/>
      <c r="H6" t="str">
        <f t="shared" si="0"/>
        <v>2026-05</v>
      </c>
      <c r="I6">
        <v>3</v>
      </c>
    </row>
    <row r="7" spans="1:20" ht="21" x14ac:dyDescent="0.35">
      <c r="A7" t="s">
        <v>12</v>
      </c>
      <c r="B7">
        <v>23936.2</v>
      </c>
      <c r="C7">
        <v>23976.400000000001</v>
      </c>
      <c r="D7">
        <v>23918.9</v>
      </c>
      <c r="E7">
        <v>23966.95</v>
      </c>
      <c r="F7" s="2">
        <f t="shared" si="1"/>
        <v>57.5</v>
      </c>
      <c r="G7" s="3"/>
      <c r="H7" t="str">
        <f t="shared" si="0"/>
        <v>2026-05</v>
      </c>
      <c r="I7">
        <v>3</v>
      </c>
      <c r="L7" s="16" t="s">
        <v>2065</v>
      </c>
      <c r="M7" s="16" t="s">
        <v>2066</v>
      </c>
      <c r="N7" s="16" t="s">
        <v>2067</v>
      </c>
    </row>
    <row r="8" spans="1:20" ht="21" x14ac:dyDescent="0.35">
      <c r="A8" t="s">
        <v>13</v>
      </c>
      <c r="B8">
        <v>23968.25</v>
      </c>
      <c r="C8">
        <v>23973.200000000001</v>
      </c>
      <c r="D8">
        <v>23950.7</v>
      </c>
      <c r="E8">
        <v>23961.95</v>
      </c>
      <c r="F8" s="2">
        <f t="shared" si="1"/>
        <v>22.5</v>
      </c>
      <c r="G8" s="3"/>
      <c r="H8" t="str">
        <f t="shared" si="0"/>
        <v>2026-05</v>
      </c>
      <c r="I8">
        <v>3</v>
      </c>
      <c r="L8" s="10" t="s">
        <v>2068</v>
      </c>
      <c r="M8" s="10">
        <v>17.5</v>
      </c>
      <c r="N8" s="10">
        <v>30.4</v>
      </c>
    </row>
    <row r="9" spans="1:20" ht="21" x14ac:dyDescent="0.35">
      <c r="A9" t="s">
        <v>14</v>
      </c>
      <c r="B9">
        <v>23961.9</v>
      </c>
      <c r="C9">
        <v>23981.25</v>
      </c>
      <c r="D9">
        <v>23959</v>
      </c>
      <c r="E9">
        <v>23974.9</v>
      </c>
      <c r="F9" s="2">
        <f t="shared" si="1"/>
        <v>22.25</v>
      </c>
      <c r="G9" s="3"/>
      <c r="H9" t="str">
        <f t="shared" si="0"/>
        <v>2026-05</v>
      </c>
      <c r="I9">
        <v>3</v>
      </c>
      <c r="L9" s="5" t="s">
        <v>2069</v>
      </c>
      <c r="M9" s="5">
        <v>15.3</v>
      </c>
      <c r="N9" s="5">
        <v>26.5</v>
      </c>
    </row>
    <row r="10" spans="1:20" ht="21" x14ac:dyDescent="0.35">
      <c r="A10" t="s">
        <v>15</v>
      </c>
      <c r="B10">
        <v>23974.65</v>
      </c>
      <c r="C10">
        <v>23983.200000000001</v>
      </c>
      <c r="D10">
        <v>23947</v>
      </c>
      <c r="E10">
        <v>23954.3</v>
      </c>
      <c r="F10" s="2">
        <f t="shared" si="1"/>
        <v>36.200000000000728</v>
      </c>
      <c r="G10" s="3"/>
      <c r="H10" t="str">
        <f t="shared" si="0"/>
        <v>2026-05</v>
      </c>
      <c r="I10">
        <v>3</v>
      </c>
      <c r="L10" s="5" t="s">
        <v>2070</v>
      </c>
      <c r="M10" s="5">
        <v>22.8</v>
      </c>
      <c r="N10" s="5">
        <v>38.799999999999997</v>
      </c>
    </row>
    <row r="11" spans="1:20" ht="21" x14ac:dyDescent="0.35">
      <c r="A11" t="s">
        <v>16</v>
      </c>
      <c r="B11">
        <v>23953.5</v>
      </c>
      <c r="C11">
        <v>23963.599999999999</v>
      </c>
      <c r="D11">
        <v>23928.75</v>
      </c>
      <c r="E11">
        <v>23934.05</v>
      </c>
      <c r="F11" s="2">
        <f t="shared" si="1"/>
        <v>34.849999999998545</v>
      </c>
      <c r="G11" s="3"/>
      <c r="H11" t="str">
        <f t="shared" si="0"/>
        <v>2026-05</v>
      </c>
      <c r="I11">
        <v>3</v>
      </c>
      <c r="L11" s="5" t="s">
        <v>2071</v>
      </c>
      <c r="M11" s="5">
        <v>21.8</v>
      </c>
      <c r="N11" s="5">
        <v>38.5</v>
      </c>
    </row>
    <row r="12" spans="1:20" ht="21" x14ac:dyDescent="0.35">
      <c r="A12" t="s">
        <v>17</v>
      </c>
      <c r="B12">
        <v>23933.5</v>
      </c>
      <c r="C12">
        <v>23941.75</v>
      </c>
      <c r="D12">
        <v>23918.35</v>
      </c>
      <c r="E12">
        <v>23921.9</v>
      </c>
      <c r="F12" s="2">
        <f t="shared" si="1"/>
        <v>23.400000000001455</v>
      </c>
      <c r="G12" s="3"/>
      <c r="H12" t="str">
        <f t="shared" si="0"/>
        <v>2026-05</v>
      </c>
      <c r="I12">
        <v>3</v>
      </c>
      <c r="L12" s="5" t="s">
        <v>2072</v>
      </c>
      <c r="M12" s="5">
        <v>17.8</v>
      </c>
      <c r="N12" s="5">
        <v>30.6</v>
      </c>
    </row>
    <row r="13" spans="1:20" ht="21" x14ac:dyDescent="0.35">
      <c r="A13" t="s">
        <v>18</v>
      </c>
      <c r="B13">
        <v>23922.55</v>
      </c>
      <c r="C13">
        <v>23940.85</v>
      </c>
      <c r="D13">
        <v>23905.15</v>
      </c>
      <c r="E13">
        <v>23906.45</v>
      </c>
      <c r="F13" s="2">
        <f t="shared" si="1"/>
        <v>35.69999999999709</v>
      </c>
      <c r="G13" s="3"/>
      <c r="H13" t="str">
        <f t="shared" si="0"/>
        <v>2026-05</v>
      </c>
      <c r="I13">
        <v>3</v>
      </c>
      <c r="L13" s="5" t="s">
        <v>2073</v>
      </c>
      <c r="M13" s="5">
        <v>14.3</v>
      </c>
      <c r="N13" s="5">
        <v>24.1</v>
      </c>
    </row>
    <row r="14" spans="1:20" ht="21" x14ac:dyDescent="0.35">
      <c r="A14" t="s">
        <v>19</v>
      </c>
      <c r="B14">
        <v>23906.3</v>
      </c>
      <c r="C14">
        <v>23938.3</v>
      </c>
      <c r="D14">
        <v>23902.45</v>
      </c>
      <c r="E14">
        <v>23936.3</v>
      </c>
      <c r="F14" s="2">
        <f t="shared" si="1"/>
        <v>35.849999999998545</v>
      </c>
      <c r="G14" s="3"/>
      <c r="H14" t="str">
        <f t="shared" si="0"/>
        <v>2026-05</v>
      </c>
      <c r="I14">
        <v>3</v>
      </c>
      <c r="L14" s="5" t="s">
        <v>2074</v>
      </c>
      <c r="M14" s="5">
        <v>15.9</v>
      </c>
      <c r="N14" s="5">
        <v>27.9</v>
      </c>
    </row>
    <row r="15" spans="1:20" x14ac:dyDescent="0.25">
      <c r="A15" t="s">
        <v>20</v>
      </c>
      <c r="B15">
        <v>23936.1</v>
      </c>
      <c r="C15">
        <v>23936.35</v>
      </c>
      <c r="D15">
        <v>23904.05</v>
      </c>
      <c r="E15">
        <v>23905.25</v>
      </c>
      <c r="F15" s="2">
        <f t="shared" si="1"/>
        <v>32.299999999999272</v>
      </c>
      <c r="G15" s="3">
        <f>AVERAGE(F2:F15)</f>
        <v>38.128571428571114</v>
      </c>
      <c r="H15" t="str">
        <f t="shared" si="0"/>
        <v>2026-05</v>
      </c>
      <c r="I15">
        <v>3</v>
      </c>
    </row>
    <row r="16" spans="1:20" x14ac:dyDescent="0.25">
      <c r="A16" t="s">
        <v>21</v>
      </c>
      <c r="B16">
        <v>23905.599999999999</v>
      </c>
      <c r="C16">
        <v>23923.45</v>
      </c>
      <c r="D16">
        <v>23895</v>
      </c>
      <c r="E16">
        <v>23898.15</v>
      </c>
      <c r="F16" s="2">
        <f t="shared" si="1"/>
        <v>28.450000000000728</v>
      </c>
      <c r="G16" s="3">
        <f t="shared" ref="G16:G79" si="2">(G15*13+F16)/14</f>
        <v>37.437244897958941</v>
      </c>
      <c r="H16" t="str">
        <f t="shared" si="0"/>
        <v>2026-05</v>
      </c>
      <c r="I16">
        <v>3</v>
      </c>
      <c r="L16" t="s">
        <v>5</v>
      </c>
      <c r="M16" t="s">
        <v>2057</v>
      </c>
      <c r="N16" t="s">
        <v>2058</v>
      </c>
      <c r="O16" t="s">
        <v>2059</v>
      </c>
      <c r="P16" t="s">
        <v>2060</v>
      </c>
      <c r="Q16" t="s">
        <v>2061</v>
      </c>
      <c r="R16" t="s">
        <v>2062</v>
      </c>
      <c r="S16" t="s">
        <v>2063</v>
      </c>
      <c r="T16" t="s">
        <v>2064</v>
      </c>
    </row>
    <row r="17" spans="1:20" x14ac:dyDescent="0.25">
      <c r="A17" t="s">
        <v>22</v>
      </c>
      <c r="B17">
        <v>23897.15</v>
      </c>
      <c r="C17">
        <v>23905.3</v>
      </c>
      <c r="D17">
        <v>23884.15</v>
      </c>
      <c r="E17">
        <v>23892.3</v>
      </c>
      <c r="F17" s="2">
        <f t="shared" si="1"/>
        <v>21.149999999997817</v>
      </c>
      <c r="G17" s="3">
        <f t="shared" si="2"/>
        <v>36.27387026239029</v>
      </c>
      <c r="H17" t="str">
        <f t="shared" si="0"/>
        <v>2026-05</v>
      </c>
      <c r="I17">
        <v>3</v>
      </c>
      <c r="L17" t="s">
        <v>2053</v>
      </c>
      <c r="M17">
        <v>24</v>
      </c>
      <c r="N17">
        <v>44</v>
      </c>
      <c r="O17">
        <v>22.3</v>
      </c>
      <c r="P17">
        <v>39.4</v>
      </c>
      <c r="Q17">
        <v>24.1</v>
      </c>
      <c r="R17">
        <v>44.3</v>
      </c>
      <c r="S17">
        <v>28.3</v>
      </c>
      <c r="T17">
        <v>48.1</v>
      </c>
    </row>
    <row r="18" spans="1:20" x14ac:dyDescent="0.25">
      <c r="A18" t="s">
        <v>23</v>
      </c>
      <c r="B18">
        <v>23892.05</v>
      </c>
      <c r="C18">
        <v>23915.15</v>
      </c>
      <c r="D18">
        <v>23890.15</v>
      </c>
      <c r="E18">
        <v>23891.55</v>
      </c>
      <c r="F18" s="2">
        <f t="shared" si="1"/>
        <v>25</v>
      </c>
      <c r="G18" s="3">
        <f t="shared" si="2"/>
        <v>35.468593815076694</v>
      </c>
      <c r="H18" t="str">
        <f t="shared" si="0"/>
        <v>2026-05</v>
      </c>
      <c r="I18">
        <v>3</v>
      </c>
      <c r="L18" t="s">
        <v>2054</v>
      </c>
      <c r="M18">
        <v>19.600000000000001</v>
      </c>
      <c r="N18">
        <v>35.299999999999997</v>
      </c>
      <c r="O18">
        <v>18.100000000000001</v>
      </c>
      <c r="P18">
        <v>31</v>
      </c>
      <c r="Q18">
        <v>19.7</v>
      </c>
      <c r="R18">
        <v>35.700000000000003</v>
      </c>
      <c r="S18">
        <v>14.9</v>
      </c>
      <c r="T18">
        <v>27.9</v>
      </c>
    </row>
    <row r="19" spans="1:20" x14ac:dyDescent="0.25">
      <c r="A19" t="s">
        <v>24</v>
      </c>
      <c r="B19">
        <v>23891.25</v>
      </c>
      <c r="C19">
        <v>23916.35</v>
      </c>
      <c r="D19">
        <v>23882.05</v>
      </c>
      <c r="E19">
        <v>23912.5</v>
      </c>
      <c r="F19" s="2">
        <f t="shared" si="1"/>
        <v>34.299999999999272</v>
      </c>
      <c r="G19" s="3">
        <f t="shared" si="2"/>
        <v>35.385122828285446</v>
      </c>
      <c r="H19" t="str">
        <f t="shared" si="0"/>
        <v>2026-05</v>
      </c>
      <c r="I19">
        <v>3</v>
      </c>
      <c r="L19" t="s">
        <v>2055</v>
      </c>
      <c r="M19">
        <v>15.8</v>
      </c>
      <c r="N19">
        <v>27.7</v>
      </c>
      <c r="O19">
        <v>14.6</v>
      </c>
      <c r="P19">
        <v>24.5</v>
      </c>
      <c r="Q19">
        <v>15.7</v>
      </c>
      <c r="R19">
        <v>27.7</v>
      </c>
      <c r="S19">
        <v>19.7</v>
      </c>
      <c r="T19">
        <v>29.7</v>
      </c>
    </row>
    <row r="20" spans="1:20" x14ac:dyDescent="0.25">
      <c r="A20" t="s">
        <v>25</v>
      </c>
      <c r="B20">
        <v>23912.3</v>
      </c>
      <c r="C20">
        <v>23924.1</v>
      </c>
      <c r="D20">
        <v>23894.45</v>
      </c>
      <c r="E20">
        <v>23896</v>
      </c>
      <c r="F20" s="2">
        <f t="shared" si="1"/>
        <v>29.649999999997817</v>
      </c>
      <c r="G20" s="3">
        <f t="shared" si="2"/>
        <v>34.975471197693473</v>
      </c>
      <c r="H20" t="str">
        <f t="shared" si="0"/>
        <v>2026-05</v>
      </c>
      <c r="I20">
        <v>3</v>
      </c>
      <c r="L20" t="s">
        <v>2056</v>
      </c>
      <c r="M20">
        <v>17.3</v>
      </c>
      <c r="N20">
        <v>31.3</v>
      </c>
      <c r="O20">
        <v>16.100000000000001</v>
      </c>
      <c r="P20">
        <v>28.1</v>
      </c>
      <c r="Q20">
        <v>17.399999999999999</v>
      </c>
      <c r="R20">
        <v>31.5</v>
      </c>
      <c r="S20">
        <v>12.9</v>
      </c>
      <c r="T20">
        <v>23.9</v>
      </c>
    </row>
    <row r="21" spans="1:20" x14ac:dyDescent="0.25">
      <c r="A21" t="s">
        <v>26</v>
      </c>
      <c r="B21">
        <v>23895.95</v>
      </c>
      <c r="C21">
        <v>23922.25</v>
      </c>
      <c r="D21">
        <v>23884.5</v>
      </c>
      <c r="E21">
        <v>23890.35</v>
      </c>
      <c r="F21" s="2">
        <f t="shared" si="1"/>
        <v>37.75</v>
      </c>
      <c r="G21" s="3">
        <f t="shared" si="2"/>
        <v>35.173651826429655</v>
      </c>
      <c r="H21" t="str">
        <f t="shared" si="0"/>
        <v>2026-05</v>
      </c>
      <c r="I21">
        <v>3</v>
      </c>
      <c r="K21" s="4" t="s">
        <v>2075</v>
      </c>
    </row>
    <row r="22" spans="1:20" x14ac:dyDescent="0.25">
      <c r="A22" t="s">
        <v>27</v>
      </c>
      <c r="B22">
        <v>23890.25</v>
      </c>
      <c r="C22">
        <v>23890.25</v>
      </c>
      <c r="D22">
        <v>23858.25</v>
      </c>
      <c r="E22">
        <v>23875.05</v>
      </c>
      <c r="F22" s="2">
        <f t="shared" si="1"/>
        <v>32.099999999998545</v>
      </c>
      <c r="G22" s="3">
        <f t="shared" si="2"/>
        <v>34.954105267398866</v>
      </c>
      <c r="H22" t="str">
        <f t="shared" si="0"/>
        <v>2026-05</v>
      </c>
      <c r="I22">
        <v>3</v>
      </c>
    </row>
    <row r="23" spans="1:20" x14ac:dyDescent="0.25">
      <c r="A23" t="s">
        <v>28</v>
      </c>
      <c r="B23">
        <v>23875.4</v>
      </c>
      <c r="C23">
        <v>23901.05</v>
      </c>
      <c r="D23">
        <v>23866.95</v>
      </c>
      <c r="E23">
        <v>23896.55</v>
      </c>
      <c r="F23" s="2">
        <f t="shared" si="1"/>
        <v>34.099999999998545</v>
      </c>
      <c r="G23" s="3">
        <f t="shared" si="2"/>
        <v>34.893097748298842</v>
      </c>
      <c r="H23" t="str">
        <f t="shared" si="0"/>
        <v>2026-05</v>
      </c>
      <c r="I23">
        <v>3</v>
      </c>
    </row>
    <row r="24" spans="1:20" x14ac:dyDescent="0.25">
      <c r="A24" t="s">
        <v>29</v>
      </c>
      <c r="B24">
        <v>23896.75</v>
      </c>
      <c r="C24">
        <v>23906.45</v>
      </c>
      <c r="D24">
        <v>23879.15</v>
      </c>
      <c r="E24">
        <v>23902.799999999999</v>
      </c>
      <c r="F24" s="2">
        <f t="shared" si="1"/>
        <v>27.299999999999272</v>
      </c>
      <c r="G24" s="3">
        <f t="shared" si="2"/>
        <v>34.350733623420304</v>
      </c>
      <c r="H24" t="str">
        <f t="shared" si="0"/>
        <v>2026-05</v>
      </c>
      <c r="I24">
        <v>3</v>
      </c>
    </row>
    <row r="25" spans="1:20" x14ac:dyDescent="0.25">
      <c r="A25" t="s">
        <v>30</v>
      </c>
      <c r="B25">
        <v>23903.8</v>
      </c>
      <c r="C25">
        <v>23926.85</v>
      </c>
      <c r="D25">
        <v>23902.5</v>
      </c>
      <c r="E25">
        <v>23921.599999999999</v>
      </c>
      <c r="F25" s="2">
        <f t="shared" si="1"/>
        <v>24.349999999998545</v>
      </c>
      <c r="G25" s="3">
        <f t="shared" si="2"/>
        <v>33.636395507461607</v>
      </c>
      <c r="H25" t="str">
        <f t="shared" si="0"/>
        <v>2026-05</v>
      </c>
      <c r="I25">
        <v>3</v>
      </c>
    </row>
    <row r="26" spans="1:20" x14ac:dyDescent="0.25">
      <c r="A26" t="s">
        <v>31</v>
      </c>
      <c r="B26">
        <v>23903.45</v>
      </c>
      <c r="C26">
        <v>24002.799999999999</v>
      </c>
      <c r="D26">
        <v>23889.15</v>
      </c>
      <c r="E26">
        <v>23893.4</v>
      </c>
      <c r="F26" s="2">
        <f t="shared" si="1"/>
        <v>113.64999999999782</v>
      </c>
      <c r="G26" s="3">
        <f t="shared" si="2"/>
        <v>39.351652971214193</v>
      </c>
      <c r="H26" t="str">
        <f t="shared" si="0"/>
        <v>2026-05</v>
      </c>
      <c r="I26">
        <v>3</v>
      </c>
    </row>
    <row r="27" spans="1:20" x14ac:dyDescent="0.25">
      <c r="A27" t="s">
        <v>32</v>
      </c>
      <c r="B27">
        <v>23892.2</v>
      </c>
      <c r="C27">
        <v>23933.85</v>
      </c>
      <c r="D27">
        <v>23872.6</v>
      </c>
      <c r="E27">
        <v>23875.75</v>
      </c>
      <c r="F27" s="2">
        <f t="shared" si="1"/>
        <v>61.25</v>
      </c>
      <c r="G27" s="3">
        <f t="shared" si="2"/>
        <v>40.915820616127462</v>
      </c>
      <c r="H27" t="str">
        <f t="shared" si="0"/>
        <v>2026-05</v>
      </c>
      <c r="I27">
        <v>3</v>
      </c>
    </row>
    <row r="28" spans="1:20" x14ac:dyDescent="0.25">
      <c r="A28" t="s">
        <v>33</v>
      </c>
      <c r="B28">
        <v>23875.8</v>
      </c>
      <c r="C28">
        <v>23922.799999999999</v>
      </c>
      <c r="D28">
        <v>23871.1</v>
      </c>
      <c r="E28">
        <v>23907.45</v>
      </c>
      <c r="F28" s="2">
        <f t="shared" si="1"/>
        <v>51.700000000000728</v>
      </c>
      <c r="G28" s="3">
        <f t="shared" si="2"/>
        <v>41.686119143546982</v>
      </c>
      <c r="H28" t="str">
        <f t="shared" si="0"/>
        <v>2026-05</v>
      </c>
      <c r="I28">
        <v>3</v>
      </c>
    </row>
    <row r="29" spans="1:20" x14ac:dyDescent="0.25">
      <c r="A29" t="s">
        <v>34</v>
      </c>
      <c r="B29">
        <v>23906.7</v>
      </c>
      <c r="C29">
        <v>23954.5</v>
      </c>
      <c r="D29">
        <v>23894.75</v>
      </c>
      <c r="E29">
        <v>23945.7</v>
      </c>
      <c r="F29" s="2">
        <f t="shared" si="1"/>
        <v>59.75</v>
      </c>
      <c r="G29" s="3">
        <f t="shared" si="2"/>
        <v>42.976396347579339</v>
      </c>
      <c r="H29" t="str">
        <f t="shared" si="0"/>
        <v>2026-05</v>
      </c>
      <c r="I29">
        <v>3</v>
      </c>
    </row>
    <row r="30" spans="1:20" x14ac:dyDescent="0.25">
      <c r="A30" t="s">
        <v>35</v>
      </c>
      <c r="B30">
        <v>23946.1</v>
      </c>
      <c r="C30">
        <v>23951.9</v>
      </c>
      <c r="D30">
        <v>23908.95</v>
      </c>
      <c r="E30">
        <v>23911.65</v>
      </c>
      <c r="F30" s="2">
        <f t="shared" si="1"/>
        <v>42.950000000000728</v>
      </c>
      <c r="G30" s="3">
        <f t="shared" si="2"/>
        <v>42.974510894180867</v>
      </c>
      <c r="H30" t="str">
        <f t="shared" si="0"/>
        <v>2026-05</v>
      </c>
      <c r="I30">
        <v>3</v>
      </c>
      <c r="L30" s="4"/>
      <c r="M30" s="4"/>
      <c r="N30" s="4"/>
      <c r="O30" s="4"/>
      <c r="P30" s="4"/>
      <c r="Q30" s="4"/>
    </row>
    <row r="31" spans="1:20" x14ac:dyDescent="0.25">
      <c r="A31" t="s">
        <v>36</v>
      </c>
      <c r="B31">
        <v>23911.200000000001</v>
      </c>
      <c r="C31">
        <v>23929.65</v>
      </c>
      <c r="D31">
        <v>23900.45</v>
      </c>
      <c r="E31">
        <v>23900.65</v>
      </c>
      <c r="F31" s="2">
        <f t="shared" si="1"/>
        <v>29.200000000000728</v>
      </c>
      <c r="G31" s="3">
        <f t="shared" si="2"/>
        <v>41.990617258882288</v>
      </c>
      <c r="H31" t="str">
        <f t="shared" si="0"/>
        <v>2026-05</v>
      </c>
      <c r="I31">
        <v>3</v>
      </c>
    </row>
    <row r="32" spans="1:20" x14ac:dyDescent="0.25">
      <c r="A32" t="s">
        <v>37</v>
      </c>
      <c r="B32">
        <v>23900.9</v>
      </c>
      <c r="C32">
        <v>23907.8</v>
      </c>
      <c r="D32">
        <v>23877.65</v>
      </c>
      <c r="E32">
        <v>23903.1</v>
      </c>
      <c r="F32" s="2">
        <f t="shared" si="1"/>
        <v>30.149999999997817</v>
      </c>
      <c r="G32" s="3">
        <f t="shared" si="2"/>
        <v>41.144858883247686</v>
      </c>
      <c r="H32" t="str">
        <f t="shared" si="0"/>
        <v>2026-05</v>
      </c>
      <c r="I32">
        <v>3</v>
      </c>
    </row>
    <row r="33" spans="1:15" x14ac:dyDescent="0.25">
      <c r="A33" t="s">
        <v>38</v>
      </c>
      <c r="B33">
        <v>23902.799999999999</v>
      </c>
      <c r="C33">
        <v>23912.7</v>
      </c>
      <c r="D33">
        <v>23892.75</v>
      </c>
      <c r="E33">
        <v>23896.85</v>
      </c>
      <c r="F33" s="2">
        <f t="shared" si="1"/>
        <v>19.950000000000728</v>
      </c>
      <c r="G33" s="3">
        <f t="shared" si="2"/>
        <v>39.630940391587195</v>
      </c>
      <c r="H33" t="str">
        <f t="shared" si="0"/>
        <v>2026-05</v>
      </c>
      <c r="I33">
        <v>3</v>
      </c>
    </row>
    <row r="34" spans="1:15" x14ac:dyDescent="0.25">
      <c r="A34" t="s">
        <v>39</v>
      </c>
      <c r="B34">
        <v>23897.200000000001</v>
      </c>
      <c r="C34">
        <v>23910.15</v>
      </c>
      <c r="D34">
        <v>23888.95</v>
      </c>
      <c r="E34">
        <v>23889.55</v>
      </c>
      <c r="F34" s="2">
        <f t="shared" si="1"/>
        <v>21.200000000000728</v>
      </c>
      <c r="G34" s="3">
        <f t="shared" si="2"/>
        <v>38.314444649331016</v>
      </c>
      <c r="H34" t="str">
        <f t="shared" si="0"/>
        <v>2026-05</v>
      </c>
      <c r="I34">
        <v>3</v>
      </c>
    </row>
    <row r="35" spans="1:15" x14ac:dyDescent="0.25">
      <c r="A35" t="s">
        <v>40</v>
      </c>
      <c r="B35">
        <v>23889.200000000001</v>
      </c>
      <c r="C35">
        <v>23894.5</v>
      </c>
      <c r="D35">
        <v>23875.35</v>
      </c>
      <c r="E35">
        <v>23885.9</v>
      </c>
      <c r="F35" s="2">
        <f t="shared" si="1"/>
        <v>19.150000000001455</v>
      </c>
      <c r="G35" s="3">
        <f t="shared" si="2"/>
        <v>36.945555745807482</v>
      </c>
      <c r="H35" t="str">
        <f t="shared" si="0"/>
        <v>2026-05</v>
      </c>
      <c r="I35">
        <v>3</v>
      </c>
    </row>
    <row r="36" spans="1:15" x14ac:dyDescent="0.25">
      <c r="A36" t="s">
        <v>41</v>
      </c>
      <c r="B36">
        <v>23885.55</v>
      </c>
      <c r="C36">
        <v>23914</v>
      </c>
      <c r="D36">
        <v>23883.35</v>
      </c>
      <c r="E36">
        <v>23890.799999999999</v>
      </c>
      <c r="F36" s="2">
        <f t="shared" si="1"/>
        <v>30.650000000001455</v>
      </c>
      <c r="G36" s="3">
        <f t="shared" si="2"/>
        <v>36.495873192535626</v>
      </c>
      <c r="H36" t="str">
        <f t="shared" si="0"/>
        <v>2026-05</v>
      </c>
      <c r="I36">
        <v>3</v>
      </c>
    </row>
    <row r="37" spans="1:15" x14ac:dyDescent="0.25">
      <c r="A37" t="s">
        <v>42</v>
      </c>
      <c r="B37">
        <v>23890.3</v>
      </c>
      <c r="C37">
        <v>23891.65</v>
      </c>
      <c r="D37">
        <v>23825.35</v>
      </c>
      <c r="E37">
        <v>23835.7</v>
      </c>
      <c r="F37" s="2">
        <f t="shared" si="1"/>
        <v>66.30000000000291</v>
      </c>
      <c r="G37" s="3">
        <f t="shared" si="2"/>
        <v>38.624739393069</v>
      </c>
      <c r="H37" t="str">
        <f t="shared" si="0"/>
        <v>2026-05</v>
      </c>
      <c r="I37">
        <v>3</v>
      </c>
    </row>
    <row r="38" spans="1:15" x14ac:dyDescent="0.25">
      <c r="A38" t="s">
        <v>43</v>
      </c>
      <c r="B38">
        <v>23835.95</v>
      </c>
      <c r="C38">
        <v>23857.75</v>
      </c>
      <c r="D38">
        <v>23815.1</v>
      </c>
      <c r="E38">
        <v>23855.8</v>
      </c>
      <c r="F38" s="2">
        <f t="shared" si="1"/>
        <v>42.650000000001455</v>
      </c>
      <c r="G38" s="3">
        <f t="shared" si="2"/>
        <v>38.912258007849893</v>
      </c>
      <c r="H38" t="str">
        <f t="shared" si="0"/>
        <v>2026-05</v>
      </c>
      <c r="I38">
        <v>3</v>
      </c>
    </row>
    <row r="39" spans="1:15" x14ac:dyDescent="0.25">
      <c r="A39" t="s">
        <v>44</v>
      </c>
      <c r="B39">
        <v>23856.2</v>
      </c>
      <c r="C39">
        <v>23859.05</v>
      </c>
      <c r="D39">
        <v>23840.95</v>
      </c>
      <c r="E39">
        <v>23849.9</v>
      </c>
      <c r="F39" s="2">
        <f t="shared" si="1"/>
        <v>18.099999999998545</v>
      </c>
      <c r="G39" s="3">
        <f t="shared" si="2"/>
        <v>37.42566815014623</v>
      </c>
      <c r="H39" t="str">
        <f t="shared" si="0"/>
        <v>2026-05</v>
      </c>
      <c r="I39">
        <v>3</v>
      </c>
    </row>
    <row r="40" spans="1:15" x14ac:dyDescent="0.25">
      <c r="A40" t="s">
        <v>45</v>
      </c>
      <c r="B40">
        <v>23849.85</v>
      </c>
      <c r="C40">
        <v>23855.25</v>
      </c>
      <c r="D40">
        <v>23821.95</v>
      </c>
      <c r="E40">
        <v>23837.55</v>
      </c>
      <c r="F40" s="2">
        <f t="shared" si="1"/>
        <v>33.299999999999272</v>
      </c>
      <c r="G40" s="3">
        <f t="shared" si="2"/>
        <v>37.130977567992872</v>
      </c>
      <c r="H40" t="str">
        <f t="shared" si="0"/>
        <v>2026-05</v>
      </c>
      <c r="I40">
        <v>3</v>
      </c>
    </row>
    <row r="41" spans="1:15" x14ac:dyDescent="0.25">
      <c r="A41" t="s">
        <v>46</v>
      </c>
      <c r="B41">
        <v>23837.05</v>
      </c>
      <c r="C41">
        <v>23838.3</v>
      </c>
      <c r="D41">
        <v>23769.15</v>
      </c>
      <c r="E41">
        <v>23769.25</v>
      </c>
      <c r="F41" s="2">
        <f t="shared" si="1"/>
        <v>69.149999999997817</v>
      </c>
      <c r="G41" s="3">
        <f t="shared" si="2"/>
        <v>39.418050598850364</v>
      </c>
      <c r="H41" t="str">
        <f t="shared" si="0"/>
        <v>2026-05</v>
      </c>
      <c r="I41">
        <v>3</v>
      </c>
      <c r="L41" s="4"/>
      <c r="M41" s="4"/>
      <c r="N41" s="4"/>
      <c r="O41" s="4"/>
    </row>
    <row r="42" spans="1:15" x14ac:dyDescent="0.25">
      <c r="A42" t="s">
        <v>47</v>
      </c>
      <c r="B42">
        <v>23769.65</v>
      </c>
      <c r="C42">
        <v>23789.5</v>
      </c>
      <c r="D42">
        <v>23759.55</v>
      </c>
      <c r="E42">
        <v>23775.599999999999</v>
      </c>
      <c r="F42" s="2">
        <f t="shared" si="1"/>
        <v>29.950000000000728</v>
      </c>
      <c r="G42" s="3">
        <f t="shared" si="2"/>
        <v>38.741761270361103</v>
      </c>
      <c r="H42" t="str">
        <f t="shared" si="0"/>
        <v>2026-05</v>
      </c>
      <c r="I42">
        <v>3</v>
      </c>
      <c r="L42" s="4"/>
      <c r="M42" s="4"/>
      <c r="N42" s="4"/>
      <c r="O42" s="4"/>
    </row>
    <row r="43" spans="1:15" x14ac:dyDescent="0.25">
      <c r="A43" t="s">
        <v>48</v>
      </c>
      <c r="B43">
        <v>23775.35</v>
      </c>
      <c r="C43">
        <v>23786.05</v>
      </c>
      <c r="D43">
        <v>23765.95</v>
      </c>
      <c r="E43">
        <v>23773.4</v>
      </c>
      <c r="F43" s="2">
        <f t="shared" si="1"/>
        <v>20.099999999998545</v>
      </c>
      <c r="G43" s="3">
        <f t="shared" si="2"/>
        <v>37.410206893906626</v>
      </c>
      <c r="H43" t="str">
        <f t="shared" si="0"/>
        <v>2026-05</v>
      </c>
      <c r="I43">
        <v>3</v>
      </c>
      <c r="L43" s="4"/>
      <c r="M43" s="4"/>
      <c r="N43" s="4"/>
      <c r="O43" s="4"/>
    </row>
    <row r="44" spans="1:15" x14ac:dyDescent="0.25">
      <c r="A44" t="s">
        <v>49</v>
      </c>
      <c r="B44">
        <v>23773.15</v>
      </c>
      <c r="C44">
        <v>23775.1</v>
      </c>
      <c r="D44">
        <v>23739.7</v>
      </c>
      <c r="E44">
        <v>23757.65</v>
      </c>
      <c r="F44" s="2">
        <f t="shared" si="1"/>
        <v>35.399999999997817</v>
      </c>
      <c r="G44" s="3">
        <f t="shared" si="2"/>
        <v>37.266620687198852</v>
      </c>
      <c r="H44" t="str">
        <f t="shared" si="0"/>
        <v>2026-05</v>
      </c>
      <c r="I44">
        <v>3</v>
      </c>
      <c r="L44" s="4"/>
      <c r="M44" s="4"/>
      <c r="N44" s="4"/>
      <c r="O44" s="4"/>
    </row>
    <row r="45" spans="1:15" x14ac:dyDescent="0.25">
      <c r="A45" t="s">
        <v>50</v>
      </c>
      <c r="B45">
        <v>23758.05</v>
      </c>
      <c r="C45">
        <v>23759.5</v>
      </c>
      <c r="D45">
        <v>23731.25</v>
      </c>
      <c r="E45">
        <v>23744.45</v>
      </c>
      <c r="F45" s="2">
        <f t="shared" si="1"/>
        <v>28.25</v>
      </c>
      <c r="G45" s="3">
        <f t="shared" si="2"/>
        <v>36.622576352398937</v>
      </c>
      <c r="H45" t="str">
        <f t="shared" si="0"/>
        <v>2026-05</v>
      </c>
      <c r="I45">
        <v>3</v>
      </c>
      <c r="L45" s="4"/>
      <c r="M45" s="4"/>
      <c r="N45" s="4"/>
      <c r="O45" s="4"/>
    </row>
    <row r="46" spans="1:15" x14ac:dyDescent="0.25">
      <c r="A46" t="s">
        <v>51</v>
      </c>
      <c r="B46">
        <v>23743.8</v>
      </c>
      <c r="C46">
        <v>23762.25</v>
      </c>
      <c r="D46">
        <v>23731.55</v>
      </c>
      <c r="E46">
        <v>23760.1</v>
      </c>
      <c r="F46" s="2">
        <f t="shared" si="1"/>
        <v>30.700000000000728</v>
      </c>
      <c r="G46" s="3">
        <f t="shared" si="2"/>
        <v>36.199535184370497</v>
      </c>
      <c r="H46" t="str">
        <f t="shared" si="0"/>
        <v>2026-05</v>
      </c>
      <c r="I46">
        <v>3</v>
      </c>
    </row>
    <row r="47" spans="1:15" x14ac:dyDescent="0.25">
      <c r="A47" t="s">
        <v>52</v>
      </c>
      <c r="B47">
        <v>23759.55</v>
      </c>
      <c r="C47">
        <v>23802.05</v>
      </c>
      <c r="D47">
        <v>23759.55</v>
      </c>
      <c r="E47">
        <v>23786.1</v>
      </c>
      <c r="F47" s="2">
        <f t="shared" si="1"/>
        <v>42.5</v>
      </c>
      <c r="G47" s="3">
        <f t="shared" si="2"/>
        <v>36.649568385486887</v>
      </c>
      <c r="H47" t="str">
        <f t="shared" si="0"/>
        <v>2026-05</v>
      </c>
      <c r="I47">
        <v>3</v>
      </c>
    </row>
    <row r="48" spans="1:15" x14ac:dyDescent="0.25">
      <c r="A48" t="s">
        <v>53</v>
      </c>
      <c r="B48">
        <v>23786.75</v>
      </c>
      <c r="C48">
        <v>23795.3</v>
      </c>
      <c r="D48">
        <v>23752.25</v>
      </c>
      <c r="E48">
        <v>23773.35</v>
      </c>
      <c r="F48" s="2">
        <f t="shared" si="1"/>
        <v>43.049999999999272</v>
      </c>
      <c r="G48" s="3">
        <f t="shared" si="2"/>
        <v>37.106742072237772</v>
      </c>
      <c r="H48" t="str">
        <f t="shared" si="0"/>
        <v>2026-05</v>
      </c>
      <c r="I48">
        <v>3</v>
      </c>
    </row>
    <row r="49" spans="1:9" x14ac:dyDescent="0.25">
      <c r="A49" t="s">
        <v>54</v>
      </c>
      <c r="B49">
        <v>23773.3</v>
      </c>
      <c r="C49">
        <v>23773.3</v>
      </c>
      <c r="D49">
        <v>23505.599999999999</v>
      </c>
      <c r="E49">
        <v>23528.7</v>
      </c>
      <c r="F49" s="2">
        <f t="shared" si="1"/>
        <v>267.75</v>
      </c>
      <c r="G49" s="3">
        <f t="shared" si="2"/>
        <v>53.58126049564936</v>
      </c>
      <c r="H49" t="str">
        <f t="shared" si="0"/>
        <v>2026-05</v>
      </c>
      <c r="I49">
        <v>3</v>
      </c>
    </row>
    <row r="50" spans="1:9" x14ac:dyDescent="0.25">
      <c r="A50" t="s">
        <v>55</v>
      </c>
      <c r="B50">
        <v>23527.200000000001</v>
      </c>
      <c r="C50">
        <v>23618</v>
      </c>
      <c r="D50">
        <v>23484.75</v>
      </c>
      <c r="E50">
        <v>23609.3</v>
      </c>
      <c r="F50" s="2">
        <f t="shared" si="1"/>
        <v>133.25</v>
      </c>
      <c r="G50" s="3">
        <f t="shared" si="2"/>
        <v>59.271884745960115</v>
      </c>
      <c r="H50" t="str">
        <f t="shared" si="0"/>
        <v>2026-05</v>
      </c>
      <c r="I50">
        <v>3</v>
      </c>
    </row>
    <row r="51" spans="1:9" x14ac:dyDescent="0.25">
      <c r="A51" t="s">
        <v>56</v>
      </c>
      <c r="B51">
        <v>23667.95</v>
      </c>
      <c r="C51">
        <v>23733.7</v>
      </c>
      <c r="D51">
        <v>23587.75</v>
      </c>
      <c r="E51">
        <v>23592.95</v>
      </c>
      <c r="F51" s="2">
        <f t="shared" si="1"/>
        <v>145.95000000000073</v>
      </c>
      <c r="G51" s="3">
        <f t="shared" si="2"/>
        <v>65.463178692677303</v>
      </c>
      <c r="H51" t="str">
        <f t="shared" si="0"/>
        <v>2026-06</v>
      </c>
      <c r="I51">
        <v>3</v>
      </c>
    </row>
    <row r="52" spans="1:9" x14ac:dyDescent="0.25">
      <c r="A52" t="s">
        <v>57</v>
      </c>
      <c r="B52">
        <v>23591.95</v>
      </c>
      <c r="C52">
        <v>23623.8</v>
      </c>
      <c r="D52">
        <v>23565.8</v>
      </c>
      <c r="E52">
        <v>23576.7</v>
      </c>
      <c r="F52" s="2">
        <f t="shared" si="1"/>
        <v>58</v>
      </c>
      <c r="G52" s="3">
        <f t="shared" si="2"/>
        <v>64.930094500343202</v>
      </c>
      <c r="H52" t="str">
        <f t="shared" si="0"/>
        <v>2026-06</v>
      </c>
      <c r="I52">
        <v>3</v>
      </c>
    </row>
    <row r="53" spans="1:9" x14ac:dyDescent="0.25">
      <c r="A53" t="s">
        <v>58</v>
      </c>
      <c r="B53">
        <v>23575.35</v>
      </c>
      <c r="C53">
        <v>23595.4</v>
      </c>
      <c r="D53">
        <v>23556.75</v>
      </c>
      <c r="E53">
        <v>23561.8</v>
      </c>
      <c r="F53" s="2">
        <f t="shared" si="1"/>
        <v>38.650000000001455</v>
      </c>
      <c r="G53" s="3">
        <f t="shared" si="2"/>
        <v>63.052944893175933</v>
      </c>
      <c r="H53" t="str">
        <f t="shared" si="0"/>
        <v>2026-06</v>
      </c>
      <c r="I53">
        <v>3</v>
      </c>
    </row>
    <row r="54" spans="1:9" x14ac:dyDescent="0.25">
      <c r="A54" t="s">
        <v>59</v>
      </c>
      <c r="B54">
        <v>23561.05</v>
      </c>
      <c r="C54">
        <v>23572.35</v>
      </c>
      <c r="D54">
        <v>23537</v>
      </c>
      <c r="E54">
        <v>23553.15</v>
      </c>
      <c r="F54" s="2">
        <f t="shared" si="1"/>
        <v>35.349999999998545</v>
      </c>
      <c r="G54" s="3">
        <f t="shared" si="2"/>
        <v>61.074163115091835</v>
      </c>
      <c r="H54" t="str">
        <f t="shared" si="0"/>
        <v>2026-06</v>
      </c>
      <c r="I54">
        <v>3</v>
      </c>
    </row>
    <row r="55" spans="1:9" x14ac:dyDescent="0.25">
      <c r="A55" t="s">
        <v>60</v>
      </c>
      <c r="B55">
        <v>23552.7</v>
      </c>
      <c r="C55">
        <v>23566.400000000001</v>
      </c>
      <c r="D55">
        <v>23536.799999999999</v>
      </c>
      <c r="E55">
        <v>23539.85</v>
      </c>
      <c r="F55" s="2">
        <f t="shared" si="1"/>
        <v>29.600000000002183</v>
      </c>
      <c r="G55" s="3">
        <f t="shared" si="2"/>
        <v>58.826008606871142</v>
      </c>
      <c r="H55" t="str">
        <f t="shared" si="0"/>
        <v>2026-06</v>
      </c>
      <c r="I55">
        <v>3</v>
      </c>
    </row>
    <row r="56" spans="1:9" x14ac:dyDescent="0.25">
      <c r="A56" t="s">
        <v>61</v>
      </c>
      <c r="B56">
        <v>23539.35</v>
      </c>
      <c r="C56">
        <v>23555.15</v>
      </c>
      <c r="D56">
        <v>23517.7</v>
      </c>
      <c r="E56">
        <v>23538.25</v>
      </c>
      <c r="F56" s="2">
        <f t="shared" si="1"/>
        <v>37.450000000000728</v>
      </c>
      <c r="G56" s="3">
        <f t="shared" si="2"/>
        <v>57.299150849237542</v>
      </c>
      <c r="H56" t="str">
        <f t="shared" si="0"/>
        <v>2026-06</v>
      </c>
      <c r="I56">
        <v>3</v>
      </c>
    </row>
    <row r="57" spans="1:9" x14ac:dyDescent="0.25">
      <c r="A57" t="s">
        <v>62</v>
      </c>
      <c r="B57">
        <v>23538.2</v>
      </c>
      <c r="C57">
        <v>23597.200000000001</v>
      </c>
      <c r="D57">
        <v>23537</v>
      </c>
      <c r="E57">
        <v>23569.75</v>
      </c>
      <c r="F57" s="2">
        <f t="shared" si="1"/>
        <v>60.200000000000728</v>
      </c>
      <c r="G57" s="3">
        <f t="shared" si="2"/>
        <v>57.506354360006341</v>
      </c>
      <c r="H57" t="str">
        <f t="shared" si="0"/>
        <v>2026-06</v>
      </c>
      <c r="I57">
        <v>3</v>
      </c>
    </row>
    <row r="58" spans="1:9" x14ac:dyDescent="0.25">
      <c r="A58" t="s">
        <v>63</v>
      </c>
      <c r="B58">
        <v>23569.95</v>
      </c>
      <c r="C58">
        <v>23615.5</v>
      </c>
      <c r="D58">
        <v>23569.95</v>
      </c>
      <c r="E58">
        <v>23606.2</v>
      </c>
      <c r="F58" s="2">
        <f t="shared" si="1"/>
        <v>45.75</v>
      </c>
      <c r="G58" s="3">
        <f t="shared" si="2"/>
        <v>56.666614762863034</v>
      </c>
      <c r="H58" t="str">
        <f t="shared" si="0"/>
        <v>2026-06</v>
      </c>
      <c r="I58">
        <v>3</v>
      </c>
    </row>
    <row r="59" spans="1:9" x14ac:dyDescent="0.25">
      <c r="A59" t="s">
        <v>64</v>
      </c>
      <c r="B59">
        <v>23605.4</v>
      </c>
      <c r="C59">
        <v>23619.25</v>
      </c>
      <c r="D59">
        <v>23558.45</v>
      </c>
      <c r="E59">
        <v>23559.15</v>
      </c>
      <c r="F59" s="2">
        <f t="shared" si="1"/>
        <v>60.799999999999272</v>
      </c>
      <c r="G59" s="3">
        <f t="shared" si="2"/>
        <v>56.961856565515625</v>
      </c>
      <c r="H59" t="str">
        <f t="shared" si="0"/>
        <v>2026-06</v>
      </c>
      <c r="I59">
        <v>3</v>
      </c>
    </row>
    <row r="60" spans="1:9" x14ac:dyDescent="0.25">
      <c r="A60" t="s">
        <v>65</v>
      </c>
      <c r="B60">
        <v>23558.6</v>
      </c>
      <c r="C60">
        <v>23570.1</v>
      </c>
      <c r="D60">
        <v>23539</v>
      </c>
      <c r="E60">
        <v>23550</v>
      </c>
      <c r="F60" s="2">
        <f t="shared" si="1"/>
        <v>31.099999999998545</v>
      </c>
      <c r="G60" s="3">
        <f t="shared" si="2"/>
        <v>55.114581096550118</v>
      </c>
      <c r="H60" t="str">
        <f t="shared" si="0"/>
        <v>2026-06</v>
      </c>
      <c r="I60">
        <v>3</v>
      </c>
    </row>
    <row r="61" spans="1:9" x14ac:dyDescent="0.25">
      <c r="A61" t="s">
        <v>66</v>
      </c>
      <c r="B61">
        <v>23549.75</v>
      </c>
      <c r="C61">
        <v>23562.2</v>
      </c>
      <c r="D61">
        <v>23491.85</v>
      </c>
      <c r="E61">
        <v>23493.75</v>
      </c>
      <c r="F61" s="2">
        <f t="shared" si="1"/>
        <v>70.350000000002183</v>
      </c>
      <c r="G61" s="3">
        <f t="shared" si="2"/>
        <v>56.202825303939555</v>
      </c>
      <c r="H61" t="str">
        <f t="shared" si="0"/>
        <v>2026-06</v>
      </c>
      <c r="I61">
        <v>3</v>
      </c>
    </row>
    <row r="62" spans="1:9" x14ac:dyDescent="0.25">
      <c r="A62" t="s">
        <v>67</v>
      </c>
      <c r="B62">
        <v>23493.65</v>
      </c>
      <c r="C62">
        <v>23533.35</v>
      </c>
      <c r="D62">
        <v>23486</v>
      </c>
      <c r="E62">
        <v>23530</v>
      </c>
      <c r="F62" s="2">
        <f t="shared" si="1"/>
        <v>47.349999999998545</v>
      </c>
      <c r="G62" s="3">
        <f t="shared" si="2"/>
        <v>55.570480639372342</v>
      </c>
      <c r="H62" t="str">
        <f t="shared" si="0"/>
        <v>2026-06</v>
      </c>
      <c r="I62">
        <v>3</v>
      </c>
    </row>
    <row r="63" spans="1:9" x14ac:dyDescent="0.25">
      <c r="A63" t="s">
        <v>68</v>
      </c>
      <c r="B63">
        <v>23529.35</v>
      </c>
      <c r="C63">
        <v>23533.15</v>
      </c>
      <c r="D63">
        <v>23510.65</v>
      </c>
      <c r="E63">
        <v>23516.95</v>
      </c>
      <c r="F63" s="2">
        <f t="shared" si="1"/>
        <v>22.5</v>
      </c>
      <c r="G63" s="3">
        <f t="shared" si="2"/>
        <v>53.208303450845747</v>
      </c>
      <c r="H63" t="str">
        <f t="shared" si="0"/>
        <v>2026-06</v>
      </c>
      <c r="I63">
        <v>3</v>
      </c>
    </row>
    <row r="64" spans="1:9" x14ac:dyDescent="0.25">
      <c r="A64" t="s">
        <v>69</v>
      </c>
      <c r="B64">
        <v>23516.400000000001</v>
      </c>
      <c r="C64">
        <v>23526</v>
      </c>
      <c r="D64">
        <v>23502.95</v>
      </c>
      <c r="E64">
        <v>23515.85</v>
      </c>
      <c r="F64" s="2">
        <f t="shared" si="1"/>
        <v>23.049999999999272</v>
      </c>
      <c r="G64" s="3">
        <f t="shared" si="2"/>
        <v>51.05413891864243</v>
      </c>
      <c r="H64" t="str">
        <f t="shared" si="0"/>
        <v>2026-06</v>
      </c>
      <c r="I64">
        <v>3</v>
      </c>
    </row>
    <row r="65" spans="1:9" x14ac:dyDescent="0.25">
      <c r="A65" t="s">
        <v>70</v>
      </c>
      <c r="B65">
        <v>23515.05</v>
      </c>
      <c r="C65">
        <v>23536.95</v>
      </c>
      <c r="D65">
        <v>23499.25</v>
      </c>
      <c r="E65">
        <v>23513.45</v>
      </c>
      <c r="F65" s="2">
        <f t="shared" si="1"/>
        <v>37.700000000000728</v>
      </c>
      <c r="G65" s="3">
        <f t="shared" si="2"/>
        <v>50.100271853025163</v>
      </c>
      <c r="H65" t="str">
        <f t="shared" si="0"/>
        <v>2026-06</v>
      </c>
      <c r="I65">
        <v>3</v>
      </c>
    </row>
    <row r="66" spans="1:9" x14ac:dyDescent="0.25">
      <c r="A66" t="s">
        <v>71</v>
      </c>
      <c r="B66">
        <v>23513.05</v>
      </c>
      <c r="C66">
        <v>23520.75</v>
      </c>
      <c r="D66">
        <v>23453.25</v>
      </c>
      <c r="E66">
        <v>23460.65</v>
      </c>
      <c r="F66" s="2">
        <f t="shared" si="1"/>
        <v>67.5</v>
      </c>
      <c r="G66" s="3">
        <f t="shared" si="2"/>
        <v>51.343109577809074</v>
      </c>
      <c r="H66" t="str">
        <f t="shared" ref="H66:H129" si="3">LEFT(A66,7)</f>
        <v>2026-06</v>
      </c>
      <c r="I66">
        <v>3</v>
      </c>
    </row>
    <row r="67" spans="1:9" x14ac:dyDescent="0.25">
      <c r="A67" t="s">
        <v>72</v>
      </c>
      <c r="B67">
        <v>23459.95</v>
      </c>
      <c r="C67">
        <v>23486.45</v>
      </c>
      <c r="D67">
        <v>23458.15</v>
      </c>
      <c r="E67">
        <v>23483.5</v>
      </c>
      <c r="F67" s="2">
        <f t="shared" ref="F67:F130" si="4">MAX(C67-D67,ABS(C67-E66),ABS(D67-E66))</f>
        <v>28.299999999999272</v>
      </c>
      <c r="G67" s="3">
        <f t="shared" si="2"/>
        <v>49.697173179394092</v>
      </c>
      <c r="H67" t="str">
        <f t="shared" si="3"/>
        <v>2026-06</v>
      </c>
      <c r="I67">
        <v>3</v>
      </c>
    </row>
    <row r="68" spans="1:9" x14ac:dyDescent="0.25">
      <c r="A68" t="s">
        <v>73</v>
      </c>
      <c r="B68">
        <v>23482.3</v>
      </c>
      <c r="C68">
        <v>23500.400000000001</v>
      </c>
      <c r="D68">
        <v>23475.200000000001</v>
      </c>
      <c r="E68">
        <v>23482.95</v>
      </c>
      <c r="F68" s="2">
        <f t="shared" si="4"/>
        <v>25.200000000000728</v>
      </c>
      <c r="G68" s="3">
        <f t="shared" si="2"/>
        <v>47.947375095151706</v>
      </c>
      <c r="H68" t="str">
        <f t="shared" si="3"/>
        <v>2026-06</v>
      </c>
      <c r="I68">
        <v>3</v>
      </c>
    </row>
    <row r="69" spans="1:9" x14ac:dyDescent="0.25">
      <c r="A69" t="s">
        <v>74</v>
      </c>
      <c r="B69">
        <v>23481.85</v>
      </c>
      <c r="C69">
        <v>23483.55</v>
      </c>
      <c r="D69">
        <v>23447.7</v>
      </c>
      <c r="E69">
        <v>23456.3</v>
      </c>
      <c r="F69" s="2">
        <f t="shared" si="4"/>
        <v>35.849999999998545</v>
      </c>
      <c r="G69" s="3">
        <f t="shared" si="2"/>
        <v>47.083276874069334</v>
      </c>
      <c r="H69" t="str">
        <f t="shared" si="3"/>
        <v>2026-06</v>
      </c>
      <c r="I69">
        <v>3</v>
      </c>
    </row>
    <row r="70" spans="1:9" x14ac:dyDescent="0.25">
      <c r="A70" t="s">
        <v>75</v>
      </c>
      <c r="B70">
        <v>23456.1</v>
      </c>
      <c r="C70">
        <v>23459.599999999999</v>
      </c>
      <c r="D70">
        <v>23413</v>
      </c>
      <c r="E70">
        <v>23416.95</v>
      </c>
      <c r="F70" s="2">
        <f t="shared" si="4"/>
        <v>46.599999999998545</v>
      </c>
      <c r="G70" s="3">
        <f t="shared" si="2"/>
        <v>47.048757097349991</v>
      </c>
      <c r="H70" t="str">
        <f t="shared" si="3"/>
        <v>2026-06</v>
      </c>
      <c r="I70">
        <v>3</v>
      </c>
    </row>
    <row r="71" spans="1:9" x14ac:dyDescent="0.25">
      <c r="A71" t="s">
        <v>76</v>
      </c>
      <c r="B71">
        <v>23417.05</v>
      </c>
      <c r="C71">
        <v>23428.3</v>
      </c>
      <c r="D71">
        <v>23389.599999999999</v>
      </c>
      <c r="E71">
        <v>23395</v>
      </c>
      <c r="F71" s="2">
        <f t="shared" si="4"/>
        <v>38.700000000000728</v>
      </c>
      <c r="G71" s="3">
        <f t="shared" si="2"/>
        <v>46.452417304682186</v>
      </c>
      <c r="H71" t="str">
        <f t="shared" si="3"/>
        <v>2026-06</v>
      </c>
      <c r="I71">
        <v>3</v>
      </c>
    </row>
    <row r="72" spans="1:9" x14ac:dyDescent="0.25">
      <c r="A72" t="s">
        <v>77</v>
      </c>
      <c r="B72">
        <v>23394.1</v>
      </c>
      <c r="C72">
        <v>23422.65</v>
      </c>
      <c r="D72">
        <v>23379.95</v>
      </c>
      <c r="E72">
        <v>23416.3</v>
      </c>
      <c r="F72" s="2">
        <f t="shared" si="4"/>
        <v>42.700000000000728</v>
      </c>
      <c r="G72" s="3">
        <f t="shared" si="2"/>
        <v>46.184387497204945</v>
      </c>
      <c r="H72" t="str">
        <f t="shared" si="3"/>
        <v>2026-06</v>
      </c>
      <c r="I72">
        <v>3</v>
      </c>
    </row>
    <row r="73" spans="1:9" x14ac:dyDescent="0.25">
      <c r="A73" t="s">
        <v>78</v>
      </c>
      <c r="B73">
        <v>23417.3</v>
      </c>
      <c r="C73">
        <v>23427.35</v>
      </c>
      <c r="D73">
        <v>23360.15</v>
      </c>
      <c r="E73">
        <v>23373.7</v>
      </c>
      <c r="F73" s="2">
        <f t="shared" si="4"/>
        <v>67.19999999999709</v>
      </c>
      <c r="G73" s="3">
        <f t="shared" si="2"/>
        <v>47.685502675975819</v>
      </c>
      <c r="H73" t="str">
        <f t="shared" si="3"/>
        <v>2026-06</v>
      </c>
      <c r="I73">
        <v>3</v>
      </c>
    </row>
    <row r="74" spans="1:9" x14ac:dyDescent="0.25">
      <c r="A74" t="s">
        <v>79</v>
      </c>
      <c r="B74">
        <v>23373.95</v>
      </c>
      <c r="C74">
        <v>23412.1</v>
      </c>
      <c r="D74">
        <v>23357.95</v>
      </c>
      <c r="E74">
        <v>23389.25</v>
      </c>
      <c r="F74" s="2">
        <f t="shared" si="4"/>
        <v>54.149999999997817</v>
      </c>
      <c r="G74" s="3">
        <f t="shared" si="2"/>
        <v>48.147252484834539</v>
      </c>
      <c r="H74" t="str">
        <f t="shared" si="3"/>
        <v>2026-06</v>
      </c>
      <c r="I74">
        <v>3</v>
      </c>
    </row>
    <row r="75" spans="1:9" x14ac:dyDescent="0.25">
      <c r="A75" t="s">
        <v>80</v>
      </c>
      <c r="B75">
        <v>23389.4</v>
      </c>
      <c r="C75">
        <v>23402.799999999999</v>
      </c>
      <c r="D75">
        <v>23362.799999999999</v>
      </c>
      <c r="E75">
        <v>23379.200000000001</v>
      </c>
      <c r="F75" s="2">
        <f t="shared" si="4"/>
        <v>40</v>
      </c>
      <c r="G75" s="3">
        <f t="shared" si="2"/>
        <v>47.565305878774929</v>
      </c>
      <c r="H75" t="str">
        <f t="shared" si="3"/>
        <v>2026-06</v>
      </c>
      <c r="I75">
        <v>3</v>
      </c>
    </row>
    <row r="76" spans="1:9" x14ac:dyDescent="0.25">
      <c r="A76" t="s">
        <v>81</v>
      </c>
      <c r="B76">
        <v>23265.4</v>
      </c>
      <c r="C76">
        <v>23297.75</v>
      </c>
      <c r="D76">
        <v>23233.4</v>
      </c>
      <c r="E76">
        <v>23279.55</v>
      </c>
      <c r="F76" s="2">
        <f t="shared" si="4"/>
        <v>145.79999999999927</v>
      </c>
      <c r="G76" s="3">
        <f t="shared" si="2"/>
        <v>54.582069744576664</v>
      </c>
      <c r="H76" t="str">
        <f t="shared" si="3"/>
        <v>2026-06</v>
      </c>
      <c r="I76">
        <v>3</v>
      </c>
    </row>
    <row r="77" spans="1:9" x14ac:dyDescent="0.25">
      <c r="A77" t="s">
        <v>82</v>
      </c>
      <c r="B77">
        <v>23282.1</v>
      </c>
      <c r="C77">
        <v>23307.15</v>
      </c>
      <c r="D77">
        <v>23261.200000000001</v>
      </c>
      <c r="E77">
        <v>23301.85</v>
      </c>
      <c r="F77" s="2">
        <f t="shared" si="4"/>
        <v>45.950000000000728</v>
      </c>
      <c r="G77" s="3">
        <f t="shared" si="2"/>
        <v>53.965493334249807</v>
      </c>
      <c r="H77" t="str">
        <f t="shared" si="3"/>
        <v>2026-06</v>
      </c>
      <c r="I77">
        <v>3</v>
      </c>
    </row>
    <row r="78" spans="1:9" x14ac:dyDescent="0.25">
      <c r="A78" t="s">
        <v>83</v>
      </c>
      <c r="B78">
        <v>23301.95</v>
      </c>
      <c r="C78">
        <v>23322.75</v>
      </c>
      <c r="D78">
        <v>23270.95</v>
      </c>
      <c r="E78">
        <v>23315.200000000001</v>
      </c>
      <c r="F78" s="2">
        <f t="shared" si="4"/>
        <v>51.799999999999272</v>
      </c>
      <c r="G78" s="3">
        <f t="shared" si="2"/>
        <v>53.810815238946198</v>
      </c>
      <c r="H78" t="str">
        <f t="shared" si="3"/>
        <v>2026-06</v>
      </c>
      <c r="I78">
        <v>3</v>
      </c>
    </row>
    <row r="79" spans="1:9" x14ac:dyDescent="0.25">
      <c r="A79" t="s">
        <v>84</v>
      </c>
      <c r="B79">
        <v>23316.2</v>
      </c>
      <c r="C79">
        <v>23325.15</v>
      </c>
      <c r="D79">
        <v>23280.95</v>
      </c>
      <c r="E79">
        <v>23281.45</v>
      </c>
      <c r="F79" s="2">
        <f t="shared" si="4"/>
        <v>44.200000000000728</v>
      </c>
      <c r="G79" s="3">
        <f t="shared" si="2"/>
        <v>53.124328436164376</v>
      </c>
      <c r="H79" t="str">
        <f t="shared" si="3"/>
        <v>2026-06</v>
      </c>
      <c r="I79">
        <v>3</v>
      </c>
    </row>
    <row r="80" spans="1:9" x14ac:dyDescent="0.25">
      <c r="A80" t="s">
        <v>85</v>
      </c>
      <c r="B80">
        <v>23281.4</v>
      </c>
      <c r="C80">
        <v>23375.95</v>
      </c>
      <c r="D80">
        <v>23265.65</v>
      </c>
      <c r="E80">
        <v>23369.599999999999</v>
      </c>
      <c r="F80" s="2">
        <f t="shared" si="4"/>
        <v>110.29999999999927</v>
      </c>
      <c r="G80" s="3">
        <f t="shared" ref="G80:G143" si="5">(G79*13+F80)/14</f>
        <v>57.208304976438299</v>
      </c>
      <c r="H80" t="str">
        <f t="shared" si="3"/>
        <v>2026-06</v>
      </c>
      <c r="I80">
        <v>3</v>
      </c>
    </row>
    <row r="81" spans="1:9" x14ac:dyDescent="0.25">
      <c r="A81" t="s">
        <v>86</v>
      </c>
      <c r="B81">
        <v>23371</v>
      </c>
      <c r="C81">
        <v>23373.200000000001</v>
      </c>
      <c r="D81">
        <v>23327.75</v>
      </c>
      <c r="E81">
        <v>23352.45</v>
      </c>
      <c r="F81" s="2">
        <f t="shared" si="4"/>
        <v>45.450000000000728</v>
      </c>
      <c r="G81" s="3">
        <f t="shared" si="5"/>
        <v>56.368426049549903</v>
      </c>
      <c r="H81" t="str">
        <f t="shared" si="3"/>
        <v>2026-06</v>
      </c>
      <c r="I81">
        <v>3</v>
      </c>
    </row>
    <row r="82" spans="1:9" x14ac:dyDescent="0.25">
      <c r="A82" t="s">
        <v>87</v>
      </c>
      <c r="B82">
        <v>23352.35</v>
      </c>
      <c r="C82">
        <v>23352.35</v>
      </c>
      <c r="D82">
        <v>23281.55</v>
      </c>
      <c r="E82">
        <v>23300.35</v>
      </c>
      <c r="F82" s="2">
        <f t="shared" si="4"/>
        <v>70.900000000001455</v>
      </c>
      <c r="G82" s="3">
        <f t="shared" si="5"/>
        <v>57.406395617439294</v>
      </c>
      <c r="H82" t="str">
        <f t="shared" si="3"/>
        <v>2026-06</v>
      </c>
      <c r="I82">
        <v>3</v>
      </c>
    </row>
    <row r="83" spans="1:9" x14ac:dyDescent="0.25">
      <c r="A83" t="s">
        <v>88</v>
      </c>
      <c r="B83">
        <v>23301.15</v>
      </c>
      <c r="C83">
        <v>23314.65</v>
      </c>
      <c r="D83">
        <v>23293</v>
      </c>
      <c r="E83">
        <v>23310.3</v>
      </c>
      <c r="F83" s="2">
        <f t="shared" si="4"/>
        <v>21.650000000001455</v>
      </c>
      <c r="G83" s="3">
        <f t="shared" si="5"/>
        <v>54.852367359050881</v>
      </c>
      <c r="H83" t="str">
        <f t="shared" si="3"/>
        <v>2026-06</v>
      </c>
      <c r="I83">
        <v>3</v>
      </c>
    </row>
    <row r="84" spans="1:9" x14ac:dyDescent="0.25">
      <c r="A84" t="s">
        <v>89</v>
      </c>
      <c r="B84">
        <v>23309.65</v>
      </c>
      <c r="C84">
        <v>23363.95</v>
      </c>
      <c r="D84">
        <v>23295.85</v>
      </c>
      <c r="E84">
        <v>23340.3</v>
      </c>
      <c r="F84" s="2">
        <f t="shared" si="4"/>
        <v>68.100000000002183</v>
      </c>
      <c r="G84" s="3">
        <f t="shared" si="5"/>
        <v>55.798626833404548</v>
      </c>
      <c r="H84" t="str">
        <f t="shared" si="3"/>
        <v>2026-06</v>
      </c>
      <c r="I84">
        <v>3</v>
      </c>
    </row>
    <row r="85" spans="1:9" x14ac:dyDescent="0.25">
      <c r="A85" t="s">
        <v>90</v>
      </c>
      <c r="B85">
        <v>23340.45</v>
      </c>
      <c r="C85">
        <v>23344.5</v>
      </c>
      <c r="D85">
        <v>23290.5</v>
      </c>
      <c r="E85">
        <v>23298</v>
      </c>
      <c r="F85" s="2">
        <f t="shared" si="4"/>
        <v>54</v>
      </c>
      <c r="G85" s="3">
        <f t="shared" si="5"/>
        <v>55.670153488161368</v>
      </c>
      <c r="H85" t="str">
        <f t="shared" si="3"/>
        <v>2026-06</v>
      </c>
      <c r="I85">
        <v>3</v>
      </c>
    </row>
    <row r="86" spans="1:9" x14ac:dyDescent="0.25">
      <c r="A86" t="s">
        <v>91</v>
      </c>
      <c r="B86">
        <v>23298.3</v>
      </c>
      <c r="C86">
        <v>23310.7</v>
      </c>
      <c r="D86">
        <v>23280.75</v>
      </c>
      <c r="E86">
        <v>23283.5</v>
      </c>
      <c r="F86" s="2">
        <f t="shared" si="4"/>
        <v>29.950000000000728</v>
      </c>
      <c r="G86" s="3">
        <f t="shared" si="5"/>
        <v>53.832999667578463</v>
      </c>
      <c r="H86" t="str">
        <f t="shared" si="3"/>
        <v>2026-06</v>
      </c>
      <c r="I86">
        <v>3</v>
      </c>
    </row>
    <row r="87" spans="1:9" x14ac:dyDescent="0.25">
      <c r="A87" t="s">
        <v>92</v>
      </c>
      <c r="B87">
        <v>23284.1</v>
      </c>
      <c r="C87">
        <v>23304.400000000001</v>
      </c>
      <c r="D87">
        <v>23276.6</v>
      </c>
      <c r="E87">
        <v>23279.8</v>
      </c>
      <c r="F87" s="2">
        <f t="shared" si="4"/>
        <v>27.80000000000291</v>
      </c>
      <c r="G87" s="3">
        <f t="shared" si="5"/>
        <v>51.973499691323063</v>
      </c>
      <c r="H87" t="str">
        <f t="shared" si="3"/>
        <v>2026-06</v>
      </c>
      <c r="I87">
        <v>3</v>
      </c>
    </row>
    <row r="88" spans="1:9" x14ac:dyDescent="0.25">
      <c r="A88" t="s">
        <v>93</v>
      </c>
      <c r="B88">
        <v>23279.3</v>
      </c>
      <c r="C88">
        <v>23297.35</v>
      </c>
      <c r="D88">
        <v>23270.95</v>
      </c>
      <c r="E88">
        <v>23274.85</v>
      </c>
      <c r="F88" s="2">
        <f t="shared" si="4"/>
        <v>26.399999999997817</v>
      </c>
      <c r="G88" s="3">
        <f t="shared" si="5"/>
        <v>50.146821141942688</v>
      </c>
      <c r="H88" t="str">
        <f t="shared" si="3"/>
        <v>2026-06</v>
      </c>
      <c r="I88">
        <v>3</v>
      </c>
    </row>
    <row r="89" spans="1:9" x14ac:dyDescent="0.25">
      <c r="A89" t="s">
        <v>94</v>
      </c>
      <c r="B89">
        <v>23274.75</v>
      </c>
      <c r="C89">
        <v>23374.6</v>
      </c>
      <c r="D89">
        <v>23271.45</v>
      </c>
      <c r="E89">
        <v>23371.55</v>
      </c>
      <c r="F89" s="2">
        <f t="shared" si="4"/>
        <v>103.14999999999782</v>
      </c>
      <c r="G89" s="3">
        <f t="shared" si="5"/>
        <v>53.932762488946629</v>
      </c>
      <c r="H89" t="str">
        <f t="shared" si="3"/>
        <v>2026-06</v>
      </c>
      <c r="I89">
        <v>3</v>
      </c>
    </row>
    <row r="90" spans="1:9" x14ac:dyDescent="0.25">
      <c r="A90" t="s">
        <v>95</v>
      </c>
      <c r="B90">
        <v>23371.3</v>
      </c>
      <c r="C90">
        <v>23470.799999999999</v>
      </c>
      <c r="D90">
        <v>23370.6</v>
      </c>
      <c r="E90">
        <v>23457.95</v>
      </c>
      <c r="F90" s="2">
        <f t="shared" si="4"/>
        <v>100.20000000000073</v>
      </c>
      <c r="G90" s="3">
        <f t="shared" si="5"/>
        <v>57.23756516830764</v>
      </c>
      <c r="H90" t="str">
        <f t="shared" si="3"/>
        <v>2026-06</v>
      </c>
      <c r="I90">
        <v>3</v>
      </c>
    </row>
    <row r="91" spans="1:9" x14ac:dyDescent="0.25">
      <c r="A91" t="s">
        <v>96</v>
      </c>
      <c r="B91">
        <v>23456.9</v>
      </c>
      <c r="C91">
        <v>23499.25</v>
      </c>
      <c r="D91">
        <v>23438.400000000001</v>
      </c>
      <c r="E91">
        <v>23473.75</v>
      </c>
      <c r="F91" s="2">
        <f t="shared" si="4"/>
        <v>60.849999999998545</v>
      </c>
      <c r="G91" s="3">
        <f t="shared" si="5"/>
        <v>57.495596227714131</v>
      </c>
      <c r="H91" t="str">
        <f t="shared" si="3"/>
        <v>2026-06</v>
      </c>
      <c r="I91">
        <v>3</v>
      </c>
    </row>
    <row r="92" spans="1:9" x14ac:dyDescent="0.25">
      <c r="A92" t="s">
        <v>97</v>
      </c>
      <c r="B92">
        <v>23474.25</v>
      </c>
      <c r="C92">
        <v>23503.65</v>
      </c>
      <c r="D92">
        <v>23456.799999999999</v>
      </c>
      <c r="E92">
        <v>23502.95</v>
      </c>
      <c r="F92" s="2">
        <f t="shared" si="4"/>
        <v>46.850000000002183</v>
      </c>
      <c r="G92" s="3">
        <f t="shared" si="5"/>
        <v>56.735196497163273</v>
      </c>
      <c r="H92" t="str">
        <f t="shared" si="3"/>
        <v>2026-06</v>
      </c>
      <c r="I92">
        <v>3</v>
      </c>
    </row>
    <row r="93" spans="1:9" x14ac:dyDescent="0.25">
      <c r="A93" t="s">
        <v>98</v>
      </c>
      <c r="B93">
        <v>23502.7</v>
      </c>
      <c r="C93">
        <v>23535.05</v>
      </c>
      <c r="D93">
        <v>23492.6</v>
      </c>
      <c r="E93">
        <v>23500.35</v>
      </c>
      <c r="F93" s="2">
        <f t="shared" si="4"/>
        <v>42.450000000000728</v>
      </c>
      <c r="G93" s="3">
        <f t="shared" si="5"/>
        <v>55.714825318794517</v>
      </c>
      <c r="H93" t="str">
        <f t="shared" si="3"/>
        <v>2026-06</v>
      </c>
      <c r="I93">
        <v>3</v>
      </c>
    </row>
    <row r="94" spans="1:9" x14ac:dyDescent="0.25">
      <c r="A94" t="s">
        <v>99</v>
      </c>
      <c r="B94">
        <v>23500.5</v>
      </c>
      <c r="C94">
        <v>23530.05</v>
      </c>
      <c r="D94">
        <v>23500.25</v>
      </c>
      <c r="E94">
        <v>23514.799999999999</v>
      </c>
      <c r="F94" s="2">
        <f t="shared" si="4"/>
        <v>29.799999999999272</v>
      </c>
      <c r="G94" s="3">
        <f t="shared" si="5"/>
        <v>53.863766367452001</v>
      </c>
      <c r="H94" t="str">
        <f t="shared" si="3"/>
        <v>2026-06</v>
      </c>
      <c r="I94">
        <v>3</v>
      </c>
    </row>
    <row r="95" spans="1:9" x14ac:dyDescent="0.25">
      <c r="A95" t="s">
        <v>100</v>
      </c>
      <c r="B95">
        <v>23515.15</v>
      </c>
      <c r="C95">
        <v>23546.799999999999</v>
      </c>
      <c r="D95">
        <v>23512.45</v>
      </c>
      <c r="E95">
        <v>23539.5</v>
      </c>
      <c r="F95" s="2">
        <f t="shared" si="4"/>
        <v>34.349999999998545</v>
      </c>
      <c r="G95" s="3">
        <f t="shared" si="5"/>
        <v>52.46992591263389</v>
      </c>
      <c r="H95" t="str">
        <f t="shared" si="3"/>
        <v>2026-06</v>
      </c>
      <c r="I95">
        <v>3</v>
      </c>
    </row>
    <row r="96" spans="1:9" x14ac:dyDescent="0.25">
      <c r="A96" t="s">
        <v>101</v>
      </c>
      <c r="B96">
        <v>23539.65</v>
      </c>
      <c r="C96">
        <v>23556.95</v>
      </c>
      <c r="D96">
        <v>23510.45</v>
      </c>
      <c r="E96">
        <v>23516.7</v>
      </c>
      <c r="F96" s="2">
        <f t="shared" si="4"/>
        <v>46.5</v>
      </c>
      <c r="G96" s="3">
        <f t="shared" si="5"/>
        <v>52.043502633160038</v>
      </c>
      <c r="H96" t="str">
        <f t="shared" si="3"/>
        <v>2026-06</v>
      </c>
      <c r="I96">
        <v>3</v>
      </c>
    </row>
    <row r="97" spans="1:9" x14ac:dyDescent="0.25">
      <c r="A97" t="s">
        <v>102</v>
      </c>
      <c r="B97">
        <v>23516.75</v>
      </c>
      <c r="C97">
        <v>23535.3</v>
      </c>
      <c r="D97">
        <v>23443.95</v>
      </c>
      <c r="E97">
        <v>23453</v>
      </c>
      <c r="F97" s="2">
        <f t="shared" si="4"/>
        <v>91.349999999998545</v>
      </c>
      <c r="G97" s="3">
        <f t="shared" si="5"/>
        <v>54.851109587934218</v>
      </c>
      <c r="H97" t="str">
        <f t="shared" si="3"/>
        <v>2026-06</v>
      </c>
      <c r="I97">
        <v>3</v>
      </c>
    </row>
    <row r="98" spans="1:9" x14ac:dyDescent="0.25">
      <c r="A98" t="s">
        <v>103</v>
      </c>
      <c r="B98">
        <v>23452.35</v>
      </c>
      <c r="C98">
        <v>23480.3</v>
      </c>
      <c r="D98">
        <v>23432.799999999999</v>
      </c>
      <c r="E98">
        <v>23441.200000000001</v>
      </c>
      <c r="F98" s="2">
        <f t="shared" si="4"/>
        <v>47.5</v>
      </c>
      <c r="G98" s="3">
        <f t="shared" si="5"/>
        <v>54.3260303316532</v>
      </c>
      <c r="H98" t="str">
        <f t="shared" si="3"/>
        <v>2026-06</v>
      </c>
      <c r="I98">
        <v>3</v>
      </c>
    </row>
    <row r="99" spans="1:9" x14ac:dyDescent="0.25">
      <c r="A99" t="s">
        <v>104</v>
      </c>
      <c r="B99">
        <v>23441.55</v>
      </c>
      <c r="C99">
        <v>23500.15</v>
      </c>
      <c r="D99">
        <v>23422.65</v>
      </c>
      <c r="E99">
        <v>23490</v>
      </c>
      <c r="F99" s="2">
        <f t="shared" si="4"/>
        <v>77.5</v>
      </c>
      <c r="G99" s="3">
        <f t="shared" si="5"/>
        <v>55.981313879392253</v>
      </c>
      <c r="H99" t="str">
        <f t="shared" si="3"/>
        <v>2026-06</v>
      </c>
      <c r="I99">
        <v>3</v>
      </c>
    </row>
    <row r="100" spans="1:9" x14ac:dyDescent="0.25">
      <c r="A100" t="s">
        <v>105</v>
      </c>
      <c r="B100">
        <v>23489.8</v>
      </c>
      <c r="C100">
        <v>23525.7</v>
      </c>
      <c r="D100">
        <v>23488.55</v>
      </c>
      <c r="E100">
        <v>23520.7</v>
      </c>
      <c r="F100" s="2">
        <f t="shared" si="4"/>
        <v>37.150000000001455</v>
      </c>
      <c r="G100" s="3">
        <f t="shared" si="5"/>
        <v>54.636220030864344</v>
      </c>
      <c r="H100" t="str">
        <f t="shared" si="3"/>
        <v>2026-06</v>
      </c>
      <c r="I100">
        <v>3</v>
      </c>
    </row>
    <row r="101" spans="1:9" x14ac:dyDescent="0.25">
      <c r="A101" t="s">
        <v>106</v>
      </c>
      <c r="B101">
        <v>23433.35</v>
      </c>
      <c r="C101">
        <v>23447.65</v>
      </c>
      <c r="D101">
        <v>23265.25</v>
      </c>
      <c r="E101">
        <v>23292.7</v>
      </c>
      <c r="F101" s="2">
        <f t="shared" si="4"/>
        <v>255.45000000000073</v>
      </c>
      <c r="G101" s="3">
        <f t="shared" si="5"/>
        <v>68.98006145723123</v>
      </c>
      <c r="H101" t="str">
        <f t="shared" si="3"/>
        <v>2026-06</v>
      </c>
      <c r="I101">
        <v>3</v>
      </c>
    </row>
    <row r="102" spans="1:9" x14ac:dyDescent="0.25">
      <c r="A102" t="s">
        <v>107</v>
      </c>
      <c r="B102">
        <v>23293.5</v>
      </c>
      <c r="C102">
        <v>23299.8</v>
      </c>
      <c r="D102">
        <v>23244.45</v>
      </c>
      <c r="E102">
        <v>23268.95</v>
      </c>
      <c r="F102" s="2">
        <f t="shared" si="4"/>
        <v>55.349999999998545</v>
      </c>
      <c r="G102" s="3">
        <f t="shared" si="5"/>
        <v>68.00648563885747</v>
      </c>
      <c r="H102" t="str">
        <f t="shared" si="3"/>
        <v>2026-06</v>
      </c>
      <c r="I102">
        <v>3</v>
      </c>
    </row>
    <row r="103" spans="1:9" x14ac:dyDescent="0.25">
      <c r="A103" t="s">
        <v>108</v>
      </c>
      <c r="B103">
        <v>23269.05</v>
      </c>
      <c r="C103">
        <v>23299.55</v>
      </c>
      <c r="D103">
        <v>23225.5</v>
      </c>
      <c r="E103">
        <v>23252.65</v>
      </c>
      <c r="F103" s="2">
        <f t="shared" si="4"/>
        <v>74.049999999999272</v>
      </c>
      <c r="G103" s="3">
        <f t="shared" si="5"/>
        <v>68.438165236081886</v>
      </c>
      <c r="H103" t="str">
        <f t="shared" si="3"/>
        <v>2026-06</v>
      </c>
      <c r="I103">
        <v>3</v>
      </c>
    </row>
    <row r="104" spans="1:9" x14ac:dyDescent="0.25">
      <c r="A104" t="s">
        <v>109</v>
      </c>
      <c r="B104">
        <v>23253.15</v>
      </c>
      <c r="C104">
        <v>23287.4</v>
      </c>
      <c r="D104">
        <v>23232.75</v>
      </c>
      <c r="E104">
        <v>23240.5</v>
      </c>
      <c r="F104" s="2">
        <f t="shared" si="4"/>
        <v>54.650000000001455</v>
      </c>
      <c r="G104" s="3">
        <f t="shared" si="5"/>
        <v>67.453296290647572</v>
      </c>
      <c r="H104" t="str">
        <f t="shared" si="3"/>
        <v>2026-06</v>
      </c>
      <c r="I104">
        <v>3</v>
      </c>
    </row>
    <row r="105" spans="1:9" x14ac:dyDescent="0.25">
      <c r="A105" t="s">
        <v>110</v>
      </c>
      <c r="B105">
        <v>23240.45</v>
      </c>
      <c r="C105">
        <v>23283.200000000001</v>
      </c>
      <c r="D105">
        <v>23228.95</v>
      </c>
      <c r="E105">
        <v>23246.3</v>
      </c>
      <c r="F105" s="2">
        <f t="shared" si="4"/>
        <v>54.25</v>
      </c>
      <c r="G105" s="3">
        <f t="shared" si="5"/>
        <v>66.510203698458454</v>
      </c>
      <c r="H105" t="str">
        <f t="shared" si="3"/>
        <v>2026-06</v>
      </c>
      <c r="I105">
        <v>3</v>
      </c>
    </row>
    <row r="106" spans="1:9" x14ac:dyDescent="0.25">
      <c r="A106" t="s">
        <v>111</v>
      </c>
      <c r="B106">
        <v>23247</v>
      </c>
      <c r="C106">
        <v>23255.3</v>
      </c>
      <c r="D106">
        <v>23212.1</v>
      </c>
      <c r="E106">
        <v>23227.15</v>
      </c>
      <c r="F106" s="2">
        <f t="shared" si="4"/>
        <v>43.200000000000728</v>
      </c>
      <c r="G106" s="3">
        <f t="shared" si="5"/>
        <v>64.845189148568622</v>
      </c>
      <c r="H106" t="str">
        <f t="shared" si="3"/>
        <v>2026-06</v>
      </c>
      <c r="I106">
        <v>3</v>
      </c>
    </row>
    <row r="107" spans="1:9" x14ac:dyDescent="0.25">
      <c r="A107" t="s">
        <v>112</v>
      </c>
      <c r="B107">
        <v>23227.55</v>
      </c>
      <c r="C107">
        <v>23244.25</v>
      </c>
      <c r="D107">
        <v>23217.1</v>
      </c>
      <c r="E107">
        <v>23226.05</v>
      </c>
      <c r="F107" s="2">
        <f t="shared" si="4"/>
        <v>27.150000000001455</v>
      </c>
      <c r="G107" s="3">
        <f t="shared" si="5"/>
        <v>62.152675637956683</v>
      </c>
      <c r="H107" t="str">
        <f t="shared" si="3"/>
        <v>2026-06</v>
      </c>
      <c r="I107">
        <v>3</v>
      </c>
    </row>
    <row r="108" spans="1:9" x14ac:dyDescent="0.25">
      <c r="A108" t="s">
        <v>113</v>
      </c>
      <c r="B108">
        <v>23227.25</v>
      </c>
      <c r="C108">
        <v>23233</v>
      </c>
      <c r="D108">
        <v>23194.799999999999</v>
      </c>
      <c r="E108">
        <v>23202.85</v>
      </c>
      <c r="F108" s="2">
        <f t="shared" si="4"/>
        <v>38.200000000000728</v>
      </c>
      <c r="G108" s="3">
        <f t="shared" si="5"/>
        <v>60.441770235245542</v>
      </c>
      <c r="H108" t="str">
        <f t="shared" si="3"/>
        <v>2026-06</v>
      </c>
      <c r="I108">
        <v>3</v>
      </c>
    </row>
    <row r="109" spans="1:9" x14ac:dyDescent="0.25">
      <c r="A109" t="s">
        <v>114</v>
      </c>
      <c r="B109">
        <v>23203.599999999999</v>
      </c>
      <c r="C109">
        <v>23244.85</v>
      </c>
      <c r="D109">
        <v>23198.799999999999</v>
      </c>
      <c r="E109">
        <v>23215.85</v>
      </c>
      <c r="F109" s="2">
        <f t="shared" si="4"/>
        <v>46.049999999999272</v>
      </c>
      <c r="G109" s="3">
        <f t="shared" si="5"/>
        <v>59.413786647013659</v>
      </c>
      <c r="H109" t="str">
        <f t="shared" si="3"/>
        <v>2026-06</v>
      </c>
      <c r="I109">
        <v>3</v>
      </c>
    </row>
    <row r="110" spans="1:9" x14ac:dyDescent="0.25">
      <c r="A110" t="s">
        <v>115</v>
      </c>
      <c r="B110">
        <v>23216.95</v>
      </c>
      <c r="C110">
        <v>23234.75</v>
      </c>
      <c r="D110">
        <v>23202.6</v>
      </c>
      <c r="E110">
        <v>23214.2</v>
      </c>
      <c r="F110" s="2">
        <f t="shared" si="4"/>
        <v>32.150000000001455</v>
      </c>
      <c r="G110" s="3">
        <f t="shared" si="5"/>
        <v>57.466373315084219</v>
      </c>
      <c r="H110" t="str">
        <f t="shared" si="3"/>
        <v>2026-06</v>
      </c>
      <c r="I110">
        <v>3</v>
      </c>
    </row>
    <row r="111" spans="1:9" x14ac:dyDescent="0.25">
      <c r="A111" t="s">
        <v>116</v>
      </c>
      <c r="B111">
        <v>23215.05</v>
      </c>
      <c r="C111">
        <v>23225.9</v>
      </c>
      <c r="D111">
        <v>23191.4</v>
      </c>
      <c r="E111">
        <v>23192.25</v>
      </c>
      <c r="F111" s="2">
        <f t="shared" si="4"/>
        <v>34.5</v>
      </c>
      <c r="G111" s="3">
        <f t="shared" si="5"/>
        <v>55.825918078292489</v>
      </c>
      <c r="H111" t="str">
        <f t="shared" si="3"/>
        <v>2026-06</v>
      </c>
      <c r="I111">
        <v>3</v>
      </c>
    </row>
    <row r="112" spans="1:9" x14ac:dyDescent="0.25">
      <c r="A112" t="s">
        <v>117</v>
      </c>
      <c r="B112">
        <v>23193.25</v>
      </c>
      <c r="C112">
        <v>23202.75</v>
      </c>
      <c r="D112">
        <v>23151.5</v>
      </c>
      <c r="E112">
        <v>23180.7</v>
      </c>
      <c r="F112" s="2">
        <f t="shared" si="4"/>
        <v>51.25</v>
      </c>
      <c r="G112" s="3">
        <f t="shared" si="5"/>
        <v>55.499066786985885</v>
      </c>
      <c r="H112" t="str">
        <f t="shared" si="3"/>
        <v>2026-06</v>
      </c>
      <c r="I112">
        <v>3</v>
      </c>
    </row>
    <row r="113" spans="1:9" x14ac:dyDescent="0.25">
      <c r="A113" t="s">
        <v>118</v>
      </c>
      <c r="B113">
        <v>23181.25</v>
      </c>
      <c r="C113">
        <v>23241.65</v>
      </c>
      <c r="D113">
        <v>23176.55</v>
      </c>
      <c r="E113">
        <v>23235.45</v>
      </c>
      <c r="F113" s="2">
        <f t="shared" si="4"/>
        <v>65.100000000002183</v>
      </c>
      <c r="G113" s="3">
        <f t="shared" si="5"/>
        <v>56.184847730772766</v>
      </c>
      <c r="H113" t="str">
        <f t="shared" si="3"/>
        <v>2026-06</v>
      </c>
      <c r="I113">
        <v>3</v>
      </c>
    </row>
    <row r="114" spans="1:9" x14ac:dyDescent="0.25">
      <c r="A114" t="s">
        <v>119</v>
      </c>
      <c r="B114">
        <v>23236.35</v>
      </c>
      <c r="C114">
        <v>23347.55</v>
      </c>
      <c r="D114">
        <v>23236.2</v>
      </c>
      <c r="E114">
        <v>23323</v>
      </c>
      <c r="F114" s="2">
        <f t="shared" si="4"/>
        <v>112.09999999999854</v>
      </c>
      <c r="G114" s="3">
        <f t="shared" si="5"/>
        <v>60.178787178574609</v>
      </c>
      <c r="H114" t="str">
        <f t="shared" si="3"/>
        <v>2026-06</v>
      </c>
      <c r="I114">
        <v>3</v>
      </c>
    </row>
    <row r="115" spans="1:9" x14ac:dyDescent="0.25">
      <c r="A115" t="s">
        <v>120</v>
      </c>
      <c r="B115">
        <v>23325.15</v>
      </c>
      <c r="C115">
        <v>23331.55</v>
      </c>
      <c r="D115">
        <v>23271.95</v>
      </c>
      <c r="E115">
        <v>23283.3</v>
      </c>
      <c r="F115" s="2">
        <f t="shared" si="4"/>
        <v>59.599999999998545</v>
      </c>
      <c r="G115" s="3">
        <f t="shared" si="5"/>
        <v>60.137445237247746</v>
      </c>
      <c r="H115" t="str">
        <f t="shared" si="3"/>
        <v>2026-06</v>
      </c>
      <c r="I115">
        <v>3</v>
      </c>
    </row>
    <row r="116" spans="1:9" x14ac:dyDescent="0.25">
      <c r="A116" t="s">
        <v>121</v>
      </c>
      <c r="B116">
        <v>23284.2</v>
      </c>
      <c r="C116">
        <v>23305.95</v>
      </c>
      <c r="D116">
        <v>23275.05</v>
      </c>
      <c r="E116">
        <v>23298.35</v>
      </c>
      <c r="F116" s="2">
        <f t="shared" si="4"/>
        <v>30.900000000001455</v>
      </c>
      <c r="G116" s="3">
        <f t="shared" si="5"/>
        <v>58.049056291730153</v>
      </c>
      <c r="H116" t="str">
        <f t="shared" si="3"/>
        <v>2026-06</v>
      </c>
      <c r="I116">
        <v>3</v>
      </c>
    </row>
    <row r="117" spans="1:9" x14ac:dyDescent="0.25">
      <c r="A117" t="s">
        <v>122</v>
      </c>
      <c r="B117">
        <v>23302.95</v>
      </c>
      <c r="C117">
        <v>23349.75</v>
      </c>
      <c r="D117">
        <v>23300.3</v>
      </c>
      <c r="E117">
        <v>23345</v>
      </c>
      <c r="F117" s="2">
        <f t="shared" si="4"/>
        <v>51.400000000001455</v>
      </c>
      <c r="G117" s="3">
        <f t="shared" si="5"/>
        <v>57.574123699463819</v>
      </c>
      <c r="H117" t="str">
        <f t="shared" si="3"/>
        <v>2026-06</v>
      </c>
      <c r="I117">
        <v>3</v>
      </c>
    </row>
    <row r="118" spans="1:9" x14ac:dyDescent="0.25">
      <c r="A118" t="s">
        <v>123</v>
      </c>
      <c r="B118">
        <v>23345.95</v>
      </c>
      <c r="C118">
        <v>23352.799999999999</v>
      </c>
      <c r="D118">
        <v>23316.400000000001</v>
      </c>
      <c r="E118">
        <v>23320.6</v>
      </c>
      <c r="F118" s="2">
        <f t="shared" si="4"/>
        <v>36.399999999997817</v>
      </c>
      <c r="G118" s="3">
        <f t="shared" si="5"/>
        <v>56.061686292359106</v>
      </c>
      <c r="H118" t="str">
        <f t="shared" si="3"/>
        <v>2026-06</v>
      </c>
      <c r="I118">
        <v>3</v>
      </c>
    </row>
    <row r="119" spans="1:9" x14ac:dyDescent="0.25">
      <c r="A119" t="s">
        <v>124</v>
      </c>
      <c r="B119">
        <v>23322.25</v>
      </c>
      <c r="C119">
        <v>23427.05</v>
      </c>
      <c r="D119">
        <v>23321.35</v>
      </c>
      <c r="E119">
        <v>23361.1</v>
      </c>
      <c r="F119" s="2">
        <f t="shared" si="4"/>
        <v>106.45000000000073</v>
      </c>
      <c r="G119" s="3">
        <f t="shared" si="5"/>
        <v>59.660851557190654</v>
      </c>
      <c r="H119" t="str">
        <f t="shared" si="3"/>
        <v>2026-06</v>
      </c>
      <c r="I119">
        <v>3</v>
      </c>
    </row>
    <row r="120" spans="1:9" x14ac:dyDescent="0.25">
      <c r="A120" t="s">
        <v>125</v>
      </c>
      <c r="B120">
        <v>23363.55</v>
      </c>
      <c r="C120">
        <v>23404.1</v>
      </c>
      <c r="D120">
        <v>23363.1</v>
      </c>
      <c r="E120">
        <v>23388.2</v>
      </c>
      <c r="F120" s="2">
        <f t="shared" si="4"/>
        <v>43</v>
      </c>
      <c r="G120" s="3">
        <f t="shared" si="5"/>
        <v>58.470790731677035</v>
      </c>
      <c r="H120" t="str">
        <f t="shared" si="3"/>
        <v>2026-06</v>
      </c>
      <c r="I120">
        <v>3</v>
      </c>
    </row>
    <row r="121" spans="1:9" x14ac:dyDescent="0.25">
      <c r="A121" t="s">
        <v>126</v>
      </c>
      <c r="B121">
        <v>23388.3</v>
      </c>
      <c r="C121">
        <v>23439.5</v>
      </c>
      <c r="D121">
        <v>23387.5</v>
      </c>
      <c r="E121">
        <v>23406.75</v>
      </c>
      <c r="F121" s="2">
        <f t="shared" si="4"/>
        <v>52</v>
      </c>
      <c r="G121" s="3">
        <f t="shared" si="5"/>
        <v>58.008591393700101</v>
      </c>
      <c r="H121" t="str">
        <f t="shared" si="3"/>
        <v>2026-06</v>
      </c>
      <c r="I121">
        <v>3</v>
      </c>
    </row>
    <row r="122" spans="1:9" x14ac:dyDescent="0.25">
      <c r="A122" t="s">
        <v>127</v>
      </c>
      <c r="B122">
        <v>23408.45</v>
      </c>
      <c r="C122">
        <v>23445.200000000001</v>
      </c>
      <c r="D122">
        <v>23400.55</v>
      </c>
      <c r="E122">
        <v>23439.8</v>
      </c>
      <c r="F122" s="2">
        <f t="shared" si="4"/>
        <v>44.650000000001455</v>
      </c>
      <c r="G122" s="3">
        <f t="shared" si="5"/>
        <v>57.054406294150191</v>
      </c>
      <c r="H122" t="str">
        <f t="shared" si="3"/>
        <v>2026-06</v>
      </c>
      <c r="I122">
        <v>3</v>
      </c>
    </row>
    <row r="123" spans="1:9" x14ac:dyDescent="0.25">
      <c r="A123" t="s">
        <v>128</v>
      </c>
      <c r="B123">
        <v>23440.1</v>
      </c>
      <c r="C123">
        <v>23459.55</v>
      </c>
      <c r="D123">
        <v>23425.85</v>
      </c>
      <c r="E123">
        <v>23442.95</v>
      </c>
      <c r="F123" s="2">
        <f t="shared" si="4"/>
        <v>33.700000000000728</v>
      </c>
      <c r="G123" s="3">
        <f t="shared" si="5"/>
        <v>55.386234415996661</v>
      </c>
      <c r="H123" t="str">
        <f t="shared" si="3"/>
        <v>2026-06</v>
      </c>
      <c r="I123">
        <v>3</v>
      </c>
    </row>
    <row r="124" spans="1:9" x14ac:dyDescent="0.25">
      <c r="A124" t="s">
        <v>129</v>
      </c>
      <c r="B124">
        <v>23443.8</v>
      </c>
      <c r="C124">
        <v>23459.65</v>
      </c>
      <c r="D124">
        <v>23373.9</v>
      </c>
      <c r="E124">
        <v>23395.85</v>
      </c>
      <c r="F124" s="2">
        <f t="shared" si="4"/>
        <v>85.75</v>
      </c>
      <c r="G124" s="3">
        <f t="shared" si="5"/>
        <v>57.555074814854045</v>
      </c>
      <c r="H124" t="str">
        <f t="shared" si="3"/>
        <v>2026-06</v>
      </c>
      <c r="I124">
        <v>3</v>
      </c>
    </row>
    <row r="125" spans="1:9" x14ac:dyDescent="0.25">
      <c r="A125" t="s">
        <v>130</v>
      </c>
      <c r="B125">
        <v>23396.1</v>
      </c>
      <c r="C125">
        <v>23411.3</v>
      </c>
      <c r="D125">
        <v>23389</v>
      </c>
      <c r="E125">
        <v>23396.95</v>
      </c>
      <c r="F125" s="2">
        <f t="shared" si="4"/>
        <v>22.299999999999272</v>
      </c>
      <c r="G125" s="3">
        <f t="shared" si="5"/>
        <v>55.036855185221562</v>
      </c>
      <c r="H125" t="str">
        <f t="shared" si="3"/>
        <v>2026-06</v>
      </c>
      <c r="I125">
        <v>3</v>
      </c>
    </row>
    <row r="126" spans="1:9" x14ac:dyDescent="0.25">
      <c r="A126" t="s">
        <v>131</v>
      </c>
      <c r="B126">
        <v>23288.15</v>
      </c>
      <c r="C126">
        <v>23362.85</v>
      </c>
      <c r="D126">
        <v>23247.3</v>
      </c>
      <c r="E126">
        <v>23334.799999999999</v>
      </c>
      <c r="F126" s="2">
        <f t="shared" si="4"/>
        <v>149.65000000000146</v>
      </c>
      <c r="G126" s="3">
        <f t="shared" si="5"/>
        <v>61.794936957705836</v>
      </c>
      <c r="H126" t="str">
        <f t="shared" si="3"/>
        <v>2026-06</v>
      </c>
      <c r="I126">
        <v>3</v>
      </c>
    </row>
    <row r="127" spans="1:9" x14ac:dyDescent="0.25">
      <c r="A127" t="s">
        <v>132</v>
      </c>
      <c r="B127">
        <v>23334.75</v>
      </c>
      <c r="C127">
        <v>23366.65</v>
      </c>
      <c r="D127">
        <v>23304.35</v>
      </c>
      <c r="E127">
        <v>23355.35</v>
      </c>
      <c r="F127" s="2">
        <f t="shared" si="4"/>
        <v>62.30000000000291</v>
      </c>
      <c r="G127" s="3">
        <f t="shared" si="5"/>
        <v>61.831012889298485</v>
      </c>
      <c r="H127" t="str">
        <f t="shared" si="3"/>
        <v>2026-06</v>
      </c>
      <c r="I127">
        <v>3</v>
      </c>
    </row>
    <row r="128" spans="1:9" x14ac:dyDescent="0.25">
      <c r="A128" t="s">
        <v>133</v>
      </c>
      <c r="B128">
        <v>23355.5</v>
      </c>
      <c r="C128">
        <v>23443.35</v>
      </c>
      <c r="D128">
        <v>23355.5</v>
      </c>
      <c r="E128">
        <v>23407.85</v>
      </c>
      <c r="F128" s="2">
        <f t="shared" si="4"/>
        <v>88</v>
      </c>
      <c r="G128" s="3">
        <f t="shared" si="5"/>
        <v>63.700226254348593</v>
      </c>
      <c r="H128" t="str">
        <f t="shared" si="3"/>
        <v>2026-06</v>
      </c>
      <c r="I128">
        <v>3</v>
      </c>
    </row>
    <row r="129" spans="1:9" x14ac:dyDescent="0.25">
      <c r="A129" t="s">
        <v>134</v>
      </c>
      <c r="B129">
        <v>23407.3</v>
      </c>
      <c r="C129">
        <v>23443.7</v>
      </c>
      <c r="D129">
        <v>23398.9</v>
      </c>
      <c r="E129">
        <v>23431.35</v>
      </c>
      <c r="F129" s="2">
        <f t="shared" si="4"/>
        <v>44.799999999999272</v>
      </c>
      <c r="G129" s="3">
        <f t="shared" si="5"/>
        <v>62.350210093323639</v>
      </c>
      <c r="H129" t="str">
        <f t="shared" si="3"/>
        <v>2026-06</v>
      </c>
      <c r="I129">
        <v>3</v>
      </c>
    </row>
    <row r="130" spans="1:9" x14ac:dyDescent="0.25">
      <c r="A130" t="s">
        <v>135</v>
      </c>
      <c r="B130">
        <v>23431.9</v>
      </c>
      <c r="C130">
        <v>23450.1</v>
      </c>
      <c r="D130">
        <v>23417.05</v>
      </c>
      <c r="E130">
        <v>23423.5</v>
      </c>
      <c r="F130" s="2">
        <f t="shared" si="4"/>
        <v>33.049999999999272</v>
      </c>
      <c r="G130" s="3">
        <f t="shared" si="5"/>
        <v>60.257337943800465</v>
      </c>
      <c r="H130" t="str">
        <f t="shared" ref="H130:H193" si="6">LEFT(A130,7)</f>
        <v>2026-06</v>
      </c>
      <c r="I130">
        <v>3</v>
      </c>
    </row>
    <row r="131" spans="1:9" x14ac:dyDescent="0.25">
      <c r="A131" t="s">
        <v>136</v>
      </c>
      <c r="B131">
        <v>23423</v>
      </c>
      <c r="C131">
        <v>23426.6</v>
      </c>
      <c r="D131">
        <v>23375.55</v>
      </c>
      <c r="E131">
        <v>23410.65</v>
      </c>
      <c r="F131" s="2">
        <f t="shared" ref="F131:F194" si="7">MAX(C131-D131,ABS(C131-E130),ABS(D131-E130))</f>
        <v>51.049999999999272</v>
      </c>
      <c r="G131" s="3">
        <f t="shared" si="5"/>
        <v>59.599670947814666</v>
      </c>
      <c r="H131" t="str">
        <f t="shared" si="6"/>
        <v>2026-06</v>
      </c>
      <c r="I131">
        <v>3</v>
      </c>
    </row>
    <row r="132" spans="1:9" x14ac:dyDescent="0.25">
      <c r="A132" t="s">
        <v>137</v>
      </c>
      <c r="B132">
        <v>23411.05</v>
      </c>
      <c r="C132">
        <v>23446.45</v>
      </c>
      <c r="D132">
        <v>23409.65</v>
      </c>
      <c r="E132">
        <v>23424.9</v>
      </c>
      <c r="F132" s="2">
        <f t="shared" si="7"/>
        <v>36.799999999999272</v>
      </c>
      <c r="G132" s="3">
        <f t="shared" si="5"/>
        <v>57.971123022970708</v>
      </c>
      <c r="H132" t="str">
        <f t="shared" si="6"/>
        <v>2026-06</v>
      </c>
      <c r="I132">
        <v>3</v>
      </c>
    </row>
    <row r="133" spans="1:9" x14ac:dyDescent="0.25">
      <c r="A133" t="s">
        <v>138</v>
      </c>
      <c r="B133">
        <v>23424.1</v>
      </c>
      <c r="C133">
        <v>23430.35</v>
      </c>
      <c r="D133">
        <v>23374.799999999999</v>
      </c>
      <c r="E133">
        <v>23401.85</v>
      </c>
      <c r="F133" s="2">
        <f t="shared" si="7"/>
        <v>55.549999999999272</v>
      </c>
      <c r="G133" s="3">
        <f t="shared" si="5"/>
        <v>57.798185664187031</v>
      </c>
      <c r="H133" t="str">
        <f t="shared" si="6"/>
        <v>2026-06</v>
      </c>
      <c r="I133">
        <v>3</v>
      </c>
    </row>
    <row r="134" spans="1:9" x14ac:dyDescent="0.25">
      <c r="A134" t="s">
        <v>139</v>
      </c>
      <c r="B134">
        <v>23402.05</v>
      </c>
      <c r="C134">
        <v>23403.8</v>
      </c>
      <c r="D134">
        <v>23379.5</v>
      </c>
      <c r="E134">
        <v>23392.7</v>
      </c>
      <c r="F134" s="2">
        <f t="shared" si="7"/>
        <v>24.299999999999272</v>
      </c>
      <c r="G134" s="3">
        <f t="shared" si="5"/>
        <v>55.405458116745045</v>
      </c>
      <c r="H134" t="str">
        <f t="shared" si="6"/>
        <v>2026-06</v>
      </c>
      <c r="I134">
        <v>3</v>
      </c>
    </row>
    <row r="135" spans="1:9" x14ac:dyDescent="0.25">
      <c r="A135" t="s">
        <v>140</v>
      </c>
      <c r="B135">
        <v>23392.65</v>
      </c>
      <c r="C135">
        <v>23462.3</v>
      </c>
      <c r="D135">
        <v>23359.45</v>
      </c>
      <c r="E135">
        <v>23443.65</v>
      </c>
      <c r="F135" s="2">
        <f t="shared" si="7"/>
        <v>102.84999999999854</v>
      </c>
      <c r="G135" s="3">
        <f t="shared" si="5"/>
        <v>58.794353965548865</v>
      </c>
      <c r="H135" t="str">
        <f t="shared" si="6"/>
        <v>2026-06</v>
      </c>
      <c r="I135">
        <v>3</v>
      </c>
    </row>
    <row r="136" spans="1:9" x14ac:dyDescent="0.25">
      <c r="A136" t="s">
        <v>141</v>
      </c>
      <c r="B136">
        <v>23443.75</v>
      </c>
      <c r="C136">
        <v>23451.65</v>
      </c>
      <c r="D136">
        <v>23397</v>
      </c>
      <c r="E136">
        <v>23419.05</v>
      </c>
      <c r="F136" s="2">
        <f t="shared" si="7"/>
        <v>54.650000000001455</v>
      </c>
      <c r="G136" s="3">
        <f t="shared" si="5"/>
        <v>58.49832868229548</v>
      </c>
      <c r="H136" t="str">
        <f t="shared" si="6"/>
        <v>2026-06</v>
      </c>
      <c r="I136">
        <v>3</v>
      </c>
    </row>
    <row r="137" spans="1:9" x14ac:dyDescent="0.25">
      <c r="A137" t="s">
        <v>142</v>
      </c>
      <c r="B137">
        <v>23419.15</v>
      </c>
      <c r="C137">
        <v>23450.45</v>
      </c>
      <c r="D137">
        <v>23416.25</v>
      </c>
      <c r="E137">
        <v>23439.7</v>
      </c>
      <c r="F137" s="2">
        <f t="shared" si="7"/>
        <v>34.200000000000728</v>
      </c>
      <c r="G137" s="3">
        <f t="shared" si="5"/>
        <v>56.762733776417285</v>
      </c>
      <c r="H137" t="str">
        <f t="shared" si="6"/>
        <v>2026-06</v>
      </c>
      <c r="I137">
        <v>3</v>
      </c>
    </row>
    <row r="138" spans="1:9" x14ac:dyDescent="0.25">
      <c r="A138" t="s">
        <v>143</v>
      </c>
      <c r="B138">
        <v>23439.25</v>
      </c>
      <c r="C138">
        <v>23450</v>
      </c>
      <c r="D138">
        <v>23422.25</v>
      </c>
      <c r="E138">
        <v>23430.65</v>
      </c>
      <c r="F138" s="2">
        <f t="shared" si="7"/>
        <v>27.75</v>
      </c>
      <c r="G138" s="3">
        <f t="shared" si="5"/>
        <v>54.690395649530338</v>
      </c>
      <c r="H138" t="str">
        <f t="shared" si="6"/>
        <v>2026-06</v>
      </c>
      <c r="I138">
        <v>3</v>
      </c>
    </row>
    <row r="139" spans="1:9" x14ac:dyDescent="0.25">
      <c r="A139" t="s">
        <v>144</v>
      </c>
      <c r="B139">
        <v>23430.45</v>
      </c>
      <c r="C139">
        <v>23432</v>
      </c>
      <c r="D139">
        <v>23381.3</v>
      </c>
      <c r="E139">
        <v>23385.35</v>
      </c>
      <c r="F139" s="2">
        <f t="shared" si="7"/>
        <v>50.700000000000728</v>
      </c>
      <c r="G139" s="3">
        <f t="shared" si="5"/>
        <v>54.405367388849648</v>
      </c>
      <c r="H139" t="str">
        <f t="shared" si="6"/>
        <v>2026-06</v>
      </c>
      <c r="I139">
        <v>3</v>
      </c>
    </row>
    <row r="140" spans="1:9" x14ac:dyDescent="0.25">
      <c r="A140" t="s">
        <v>145</v>
      </c>
      <c r="B140">
        <v>23384.45</v>
      </c>
      <c r="C140">
        <v>23416.05</v>
      </c>
      <c r="D140">
        <v>23382.9</v>
      </c>
      <c r="E140">
        <v>23415.9</v>
      </c>
      <c r="F140" s="2">
        <f t="shared" si="7"/>
        <v>33.149999999997817</v>
      </c>
      <c r="G140" s="3">
        <f t="shared" si="5"/>
        <v>52.88712686107452</v>
      </c>
      <c r="H140" t="str">
        <f t="shared" si="6"/>
        <v>2026-06</v>
      </c>
      <c r="I140">
        <v>3</v>
      </c>
    </row>
    <row r="141" spans="1:9" x14ac:dyDescent="0.25">
      <c r="A141" t="s">
        <v>146</v>
      </c>
      <c r="B141">
        <v>23415.75</v>
      </c>
      <c r="C141">
        <v>23422</v>
      </c>
      <c r="D141">
        <v>23332.799999999999</v>
      </c>
      <c r="E141">
        <v>23334.25</v>
      </c>
      <c r="F141" s="2">
        <f t="shared" si="7"/>
        <v>89.200000000000728</v>
      </c>
      <c r="G141" s="3">
        <f t="shared" si="5"/>
        <v>55.480903513854962</v>
      </c>
      <c r="H141" t="str">
        <f t="shared" si="6"/>
        <v>2026-06</v>
      </c>
      <c r="I141">
        <v>3</v>
      </c>
    </row>
    <row r="142" spans="1:9" x14ac:dyDescent="0.25">
      <c r="A142" t="s">
        <v>147</v>
      </c>
      <c r="B142">
        <v>23333.65</v>
      </c>
      <c r="C142">
        <v>23368.65</v>
      </c>
      <c r="D142">
        <v>23313.15</v>
      </c>
      <c r="E142">
        <v>23362.25</v>
      </c>
      <c r="F142" s="2">
        <f t="shared" si="7"/>
        <v>55.5</v>
      </c>
      <c r="G142" s="3">
        <f t="shared" si="5"/>
        <v>55.482267548579607</v>
      </c>
      <c r="H142" t="str">
        <f t="shared" si="6"/>
        <v>2026-06</v>
      </c>
      <c r="I142">
        <v>3</v>
      </c>
    </row>
    <row r="143" spans="1:9" x14ac:dyDescent="0.25">
      <c r="A143" t="s">
        <v>148</v>
      </c>
      <c r="B143">
        <v>23362.55</v>
      </c>
      <c r="C143">
        <v>23375.25</v>
      </c>
      <c r="D143">
        <v>23346.15</v>
      </c>
      <c r="E143">
        <v>23361.5</v>
      </c>
      <c r="F143" s="2">
        <f t="shared" si="7"/>
        <v>29.099999999998545</v>
      </c>
      <c r="G143" s="3">
        <f t="shared" si="5"/>
        <v>53.597819866538103</v>
      </c>
      <c r="H143" t="str">
        <f t="shared" si="6"/>
        <v>2026-06</v>
      </c>
      <c r="I143">
        <v>3</v>
      </c>
    </row>
    <row r="144" spans="1:9" x14ac:dyDescent="0.25">
      <c r="A144" t="s">
        <v>149</v>
      </c>
      <c r="B144">
        <v>23360.9</v>
      </c>
      <c r="C144">
        <v>23377.85</v>
      </c>
      <c r="D144">
        <v>23350.25</v>
      </c>
      <c r="E144">
        <v>23367.9</v>
      </c>
      <c r="F144" s="2">
        <f t="shared" si="7"/>
        <v>27.599999999998545</v>
      </c>
      <c r="G144" s="3">
        <f t="shared" ref="G144:G207" si="8">(G143*13+F144)/14</f>
        <v>51.74083273321385</v>
      </c>
      <c r="H144" t="str">
        <f t="shared" si="6"/>
        <v>2026-06</v>
      </c>
      <c r="I144">
        <v>3</v>
      </c>
    </row>
    <row r="145" spans="1:9" x14ac:dyDescent="0.25">
      <c r="A145" t="s">
        <v>150</v>
      </c>
      <c r="B145">
        <v>23368.9</v>
      </c>
      <c r="C145">
        <v>23433.75</v>
      </c>
      <c r="D145">
        <v>23367.75</v>
      </c>
      <c r="E145">
        <v>23413.9</v>
      </c>
      <c r="F145" s="2">
        <f t="shared" si="7"/>
        <v>66</v>
      </c>
      <c r="G145" s="3">
        <f t="shared" si="8"/>
        <v>52.75934468084143</v>
      </c>
      <c r="H145" t="str">
        <f t="shared" si="6"/>
        <v>2026-06</v>
      </c>
      <c r="I145">
        <v>3</v>
      </c>
    </row>
    <row r="146" spans="1:9" x14ac:dyDescent="0.25">
      <c r="A146" t="s">
        <v>151</v>
      </c>
      <c r="B146">
        <v>23414.3</v>
      </c>
      <c r="C146">
        <v>23429.15</v>
      </c>
      <c r="D146">
        <v>23405.9</v>
      </c>
      <c r="E146">
        <v>23419.75</v>
      </c>
      <c r="F146" s="2">
        <f t="shared" si="7"/>
        <v>23.25</v>
      </c>
      <c r="G146" s="3">
        <f t="shared" si="8"/>
        <v>50.651534346495616</v>
      </c>
      <c r="H146" t="str">
        <f t="shared" si="6"/>
        <v>2026-06</v>
      </c>
      <c r="I146">
        <v>3</v>
      </c>
    </row>
    <row r="147" spans="1:9" x14ac:dyDescent="0.25">
      <c r="A147" t="s">
        <v>152</v>
      </c>
      <c r="B147">
        <v>23420.1</v>
      </c>
      <c r="C147">
        <v>23452.85</v>
      </c>
      <c r="D147">
        <v>23415.3</v>
      </c>
      <c r="E147">
        <v>23433.200000000001</v>
      </c>
      <c r="F147" s="2">
        <f t="shared" si="7"/>
        <v>37.549999999999272</v>
      </c>
      <c r="G147" s="3">
        <f t="shared" si="8"/>
        <v>49.715710464603021</v>
      </c>
      <c r="H147" t="str">
        <f t="shared" si="6"/>
        <v>2026-06</v>
      </c>
      <c r="I147">
        <v>3</v>
      </c>
    </row>
    <row r="148" spans="1:9" x14ac:dyDescent="0.25">
      <c r="A148" t="s">
        <v>153</v>
      </c>
      <c r="B148">
        <v>23433.3</v>
      </c>
      <c r="C148">
        <v>23465.3</v>
      </c>
      <c r="D148">
        <v>23402.7</v>
      </c>
      <c r="E148">
        <v>23415.15</v>
      </c>
      <c r="F148" s="2">
        <f t="shared" si="7"/>
        <v>62.599999999998545</v>
      </c>
      <c r="G148" s="3">
        <f t="shared" si="8"/>
        <v>50.636016859988409</v>
      </c>
      <c r="H148" t="str">
        <f t="shared" si="6"/>
        <v>2026-06</v>
      </c>
      <c r="I148">
        <v>3</v>
      </c>
    </row>
    <row r="149" spans="1:9" x14ac:dyDescent="0.25">
      <c r="A149" t="s">
        <v>154</v>
      </c>
      <c r="B149">
        <v>23414.799999999999</v>
      </c>
      <c r="C149">
        <v>23420.35</v>
      </c>
      <c r="D149">
        <v>23385.3</v>
      </c>
      <c r="E149">
        <v>23418.05</v>
      </c>
      <c r="F149" s="2">
        <f t="shared" si="7"/>
        <v>35.049999999999272</v>
      </c>
      <c r="G149" s="3">
        <f t="shared" si="8"/>
        <v>49.522729941417758</v>
      </c>
      <c r="H149" t="str">
        <f t="shared" si="6"/>
        <v>2026-06</v>
      </c>
      <c r="I149">
        <v>3</v>
      </c>
    </row>
    <row r="150" spans="1:9" x14ac:dyDescent="0.25">
      <c r="A150" t="s">
        <v>155</v>
      </c>
      <c r="B150">
        <v>23417.05</v>
      </c>
      <c r="C150">
        <v>23446.799999999999</v>
      </c>
      <c r="D150">
        <v>23411.7</v>
      </c>
      <c r="E150">
        <v>23438</v>
      </c>
      <c r="F150" s="2">
        <f t="shared" si="7"/>
        <v>35.099999999998545</v>
      </c>
      <c r="G150" s="3">
        <f t="shared" si="8"/>
        <v>48.492534945602095</v>
      </c>
      <c r="H150" t="str">
        <f t="shared" si="6"/>
        <v>2026-06</v>
      </c>
      <c r="I150">
        <v>3</v>
      </c>
    </row>
    <row r="151" spans="1:9" x14ac:dyDescent="0.25">
      <c r="A151" t="s">
        <v>156</v>
      </c>
      <c r="B151">
        <v>23473.7</v>
      </c>
      <c r="C151">
        <v>23516.35</v>
      </c>
      <c r="D151">
        <v>23439.3</v>
      </c>
      <c r="E151">
        <v>23461.95</v>
      </c>
      <c r="F151" s="2">
        <f t="shared" si="7"/>
        <v>78.349999999998545</v>
      </c>
      <c r="G151" s="3">
        <f t="shared" si="8"/>
        <v>50.625211020916126</v>
      </c>
      <c r="H151" t="str">
        <f t="shared" si="6"/>
        <v>2026-06</v>
      </c>
      <c r="I151">
        <v>3</v>
      </c>
    </row>
    <row r="152" spans="1:9" x14ac:dyDescent="0.25">
      <c r="A152" t="s">
        <v>157</v>
      </c>
      <c r="B152">
        <v>23462.2</v>
      </c>
      <c r="C152">
        <v>23486.95</v>
      </c>
      <c r="D152">
        <v>23445.95</v>
      </c>
      <c r="E152">
        <v>23476.3</v>
      </c>
      <c r="F152" s="2">
        <f t="shared" si="7"/>
        <v>41</v>
      </c>
      <c r="G152" s="3">
        <f t="shared" si="8"/>
        <v>49.937695947993539</v>
      </c>
      <c r="H152" t="str">
        <f t="shared" si="6"/>
        <v>2026-06</v>
      </c>
      <c r="I152">
        <v>3</v>
      </c>
    </row>
    <row r="153" spans="1:9" x14ac:dyDescent="0.25">
      <c r="A153" t="s">
        <v>158</v>
      </c>
      <c r="B153">
        <v>23476.05</v>
      </c>
      <c r="C153">
        <v>23477.95</v>
      </c>
      <c r="D153">
        <v>23439.15</v>
      </c>
      <c r="E153">
        <v>23443.95</v>
      </c>
      <c r="F153" s="2">
        <f t="shared" si="7"/>
        <v>38.799999999999272</v>
      </c>
      <c r="G153" s="3">
        <f t="shared" si="8"/>
        <v>49.142146237422523</v>
      </c>
      <c r="H153" t="str">
        <f t="shared" si="6"/>
        <v>2026-06</v>
      </c>
      <c r="I153">
        <v>3</v>
      </c>
    </row>
    <row r="154" spans="1:9" x14ac:dyDescent="0.25">
      <c r="A154" t="s">
        <v>159</v>
      </c>
      <c r="B154">
        <v>23443.65</v>
      </c>
      <c r="C154">
        <v>23512.65</v>
      </c>
      <c r="D154">
        <v>23423.85</v>
      </c>
      <c r="E154">
        <v>23468.5</v>
      </c>
      <c r="F154" s="2">
        <f t="shared" si="7"/>
        <v>88.80000000000291</v>
      </c>
      <c r="G154" s="3">
        <f t="shared" si="8"/>
        <v>51.974850077606838</v>
      </c>
      <c r="H154" t="str">
        <f t="shared" si="6"/>
        <v>2026-06</v>
      </c>
      <c r="I154">
        <v>3</v>
      </c>
    </row>
    <row r="155" spans="1:9" x14ac:dyDescent="0.25">
      <c r="A155" t="s">
        <v>160</v>
      </c>
      <c r="B155">
        <v>23467.7</v>
      </c>
      <c r="C155">
        <v>23497.5</v>
      </c>
      <c r="D155">
        <v>23452.95</v>
      </c>
      <c r="E155">
        <v>23470.55</v>
      </c>
      <c r="F155" s="2">
        <f t="shared" si="7"/>
        <v>44.549999999999272</v>
      </c>
      <c r="G155" s="3">
        <f t="shared" si="8"/>
        <v>51.444503643492013</v>
      </c>
      <c r="H155" t="str">
        <f t="shared" si="6"/>
        <v>2026-06</v>
      </c>
      <c r="I155">
        <v>3</v>
      </c>
    </row>
    <row r="156" spans="1:9" x14ac:dyDescent="0.25">
      <c r="A156" t="s">
        <v>161</v>
      </c>
      <c r="B156">
        <v>23470.95</v>
      </c>
      <c r="C156">
        <v>23474.25</v>
      </c>
      <c r="D156">
        <v>23342.2</v>
      </c>
      <c r="E156">
        <v>23359.75</v>
      </c>
      <c r="F156" s="2">
        <f t="shared" si="7"/>
        <v>132.04999999999927</v>
      </c>
      <c r="G156" s="3">
        <f t="shared" si="8"/>
        <v>57.20203909752825</v>
      </c>
      <c r="H156" t="str">
        <f t="shared" si="6"/>
        <v>2026-06</v>
      </c>
      <c r="I156">
        <v>3</v>
      </c>
    </row>
    <row r="157" spans="1:9" x14ac:dyDescent="0.25">
      <c r="A157" t="s">
        <v>162</v>
      </c>
      <c r="B157">
        <v>23360.2</v>
      </c>
      <c r="C157">
        <v>23404.65</v>
      </c>
      <c r="D157">
        <v>23331.8</v>
      </c>
      <c r="E157">
        <v>23402.3</v>
      </c>
      <c r="F157" s="2">
        <f t="shared" si="7"/>
        <v>72.850000000002183</v>
      </c>
      <c r="G157" s="3">
        <f t="shared" si="8"/>
        <v>58.319750590562101</v>
      </c>
      <c r="H157" t="str">
        <f t="shared" si="6"/>
        <v>2026-06</v>
      </c>
      <c r="I157">
        <v>3</v>
      </c>
    </row>
    <row r="158" spans="1:9" x14ac:dyDescent="0.25">
      <c r="A158" t="s">
        <v>163</v>
      </c>
      <c r="B158">
        <v>23403.599999999999</v>
      </c>
      <c r="C158">
        <v>23494.799999999999</v>
      </c>
      <c r="D158">
        <v>23403.599999999999</v>
      </c>
      <c r="E158">
        <v>23444.400000000001</v>
      </c>
      <c r="F158" s="2">
        <f t="shared" si="7"/>
        <v>92.5</v>
      </c>
      <c r="G158" s="3">
        <f t="shared" si="8"/>
        <v>60.761196976950522</v>
      </c>
      <c r="H158" t="str">
        <f t="shared" si="6"/>
        <v>2026-06</v>
      </c>
      <c r="I158">
        <v>3</v>
      </c>
    </row>
    <row r="159" spans="1:9" x14ac:dyDescent="0.25">
      <c r="A159" t="s">
        <v>164</v>
      </c>
      <c r="B159">
        <v>23443.95</v>
      </c>
      <c r="C159">
        <v>23452.2</v>
      </c>
      <c r="D159">
        <v>23393.1</v>
      </c>
      <c r="E159">
        <v>23418.35</v>
      </c>
      <c r="F159" s="2">
        <f t="shared" si="7"/>
        <v>59.100000000002183</v>
      </c>
      <c r="G159" s="3">
        <f t="shared" si="8"/>
        <v>60.642540050025637</v>
      </c>
      <c r="H159" t="str">
        <f t="shared" si="6"/>
        <v>2026-06</v>
      </c>
      <c r="I159">
        <v>3</v>
      </c>
    </row>
    <row r="160" spans="1:9" x14ac:dyDescent="0.25">
      <c r="A160" t="s">
        <v>165</v>
      </c>
      <c r="B160">
        <v>23418.3</v>
      </c>
      <c r="C160">
        <v>23442.95</v>
      </c>
      <c r="D160">
        <v>23403.35</v>
      </c>
      <c r="E160">
        <v>23422.799999999999</v>
      </c>
      <c r="F160" s="2">
        <f t="shared" si="7"/>
        <v>39.600000000002183</v>
      </c>
      <c r="G160" s="3">
        <f t="shared" si="8"/>
        <v>59.139501475023962</v>
      </c>
      <c r="H160" t="str">
        <f t="shared" si="6"/>
        <v>2026-06</v>
      </c>
      <c r="I160">
        <v>3</v>
      </c>
    </row>
    <row r="161" spans="1:9" x14ac:dyDescent="0.25">
      <c r="A161" t="s">
        <v>166</v>
      </c>
      <c r="B161">
        <v>23424.35</v>
      </c>
      <c r="C161">
        <v>23440.95</v>
      </c>
      <c r="D161">
        <v>23396.95</v>
      </c>
      <c r="E161">
        <v>23397.5</v>
      </c>
      <c r="F161" s="2">
        <f t="shared" si="7"/>
        <v>44</v>
      </c>
      <c r="G161" s="3">
        <f t="shared" si="8"/>
        <v>58.058108512522253</v>
      </c>
      <c r="H161" t="str">
        <f t="shared" si="6"/>
        <v>2026-06</v>
      </c>
      <c r="I161">
        <v>3</v>
      </c>
    </row>
    <row r="162" spans="1:9" x14ac:dyDescent="0.25">
      <c r="A162" t="s">
        <v>167</v>
      </c>
      <c r="B162">
        <v>23397.9</v>
      </c>
      <c r="C162">
        <v>23441.45</v>
      </c>
      <c r="D162">
        <v>23397.05</v>
      </c>
      <c r="E162">
        <v>23439.5</v>
      </c>
      <c r="F162" s="2">
        <f t="shared" si="7"/>
        <v>44.400000000001455</v>
      </c>
      <c r="G162" s="3">
        <f t="shared" si="8"/>
        <v>57.082529333056478</v>
      </c>
      <c r="H162" t="str">
        <f t="shared" si="6"/>
        <v>2026-06</v>
      </c>
      <c r="I162">
        <v>3</v>
      </c>
    </row>
    <row r="163" spans="1:9" x14ac:dyDescent="0.25">
      <c r="A163" t="s">
        <v>168</v>
      </c>
      <c r="B163">
        <v>23439.75</v>
      </c>
      <c r="C163">
        <v>23455.25</v>
      </c>
      <c r="D163">
        <v>23431.55</v>
      </c>
      <c r="E163">
        <v>23437</v>
      </c>
      <c r="F163" s="2">
        <f t="shared" si="7"/>
        <v>23.700000000000728</v>
      </c>
      <c r="G163" s="3">
        <f t="shared" si="8"/>
        <v>54.698062952123919</v>
      </c>
      <c r="H163" t="str">
        <f t="shared" si="6"/>
        <v>2026-06</v>
      </c>
      <c r="I163">
        <v>3</v>
      </c>
    </row>
    <row r="164" spans="1:9" x14ac:dyDescent="0.25">
      <c r="A164" t="s">
        <v>169</v>
      </c>
      <c r="B164">
        <v>23436.85</v>
      </c>
      <c r="C164">
        <v>23439.7</v>
      </c>
      <c r="D164">
        <v>23367.3</v>
      </c>
      <c r="E164">
        <v>23374.65</v>
      </c>
      <c r="F164" s="2">
        <f t="shared" si="7"/>
        <v>72.400000000001455</v>
      </c>
      <c r="G164" s="3">
        <f t="shared" si="8"/>
        <v>55.962487026972319</v>
      </c>
      <c r="H164" t="str">
        <f t="shared" si="6"/>
        <v>2026-06</v>
      </c>
      <c r="I164">
        <v>3</v>
      </c>
    </row>
    <row r="165" spans="1:9" x14ac:dyDescent="0.25">
      <c r="A165" t="s">
        <v>170</v>
      </c>
      <c r="B165">
        <v>23374.9</v>
      </c>
      <c r="C165">
        <v>23388.25</v>
      </c>
      <c r="D165">
        <v>23351.200000000001</v>
      </c>
      <c r="E165">
        <v>23367.7</v>
      </c>
      <c r="F165" s="2">
        <f t="shared" si="7"/>
        <v>37.049999999999272</v>
      </c>
      <c r="G165" s="3">
        <f t="shared" si="8"/>
        <v>54.61159509647424</v>
      </c>
      <c r="H165" t="str">
        <f t="shared" si="6"/>
        <v>2026-06</v>
      </c>
      <c r="I165">
        <v>3</v>
      </c>
    </row>
    <row r="166" spans="1:9" x14ac:dyDescent="0.25">
      <c r="A166" t="s">
        <v>171</v>
      </c>
      <c r="B166">
        <v>23367.55</v>
      </c>
      <c r="C166">
        <v>23376.2</v>
      </c>
      <c r="D166">
        <v>23333.8</v>
      </c>
      <c r="E166">
        <v>23337.5</v>
      </c>
      <c r="F166" s="2">
        <f t="shared" si="7"/>
        <v>42.400000000001455</v>
      </c>
      <c r="G166" s="3">
        <f t="shared" si="8"/>
        <v>53.73933830386904</v>
      </c>
      <c r="H166" t="str">
        <f t="shared" si="6"/>
        <v>2026-06</v>
      </c>
      <c r="I166">
        <v>3</v>
      </c>
    </row>
    <row r="167" spans="1:9" x14ac:dyDescent="0.25">
      <c r="A167" t="s">
        <v>172</v>
      </c>
      <c r="B167">
        <v>23337.95</v>
      </c>
      <c r="C167">
        <v>23360.799999999999</v>
      </c>
      <c r="D167">
        <v>23310.55</v>
      </c>
      <c r="E167">
        <v>23310.6</v>
      </c>
      <c r="F167" s="2">
        <f t="shared" si="7"/>
        <v>50.25</v>
      </c>
      <c r="G167" s="3">
        <f t="shared" si="8"/>
        <v>53.490099853592675</v>
      </c>
      <c r="H167" t="str">
        <f t="shared" si="6"/>
        <v>2026-06</v>
      </c>
      <c r="I167">
        <v>3</v>
      </c>
    </row>
    <row r="168" spans="1:9" x14ac:dyDescent="0.25">
      <c r="A168" t="s">
        <v>173</v>
      </c>
      <c r="B168">
        <v>23310.3</v>
      </c>
      <c r="C168">
        <v>23328.6</v>
      </c>
      <c r="D168">
        <v>23282.65</v>
      </c>
      <c r="E168">
        <v>23300.1</v>
      </c>
      <c r="F168" s="2">
        <f t="shared" si="7"/>
        <v>45.94999999999709</v>
      </c>
      <c r="G168" s="3">
        <f t="shared" si="8"/>
        <v>52.951521292621564</v>
      </c>
      <c r="H168" t="str">
        <f t="shared" si="6"/>
        <v>2026-06</v>
      </c>
      <c r="I168">
        <v>3</v>
      </c>
    </row>
    <row r="169" spans="1:9" x14ac:dyDescent="0.25">
      <c r="A169" t="s">
        <v>174</v>
      </c>
      <c r="B169">
        <v>23300.400000000001</v>
      </c>
      <c r="C169">
        <v>23330.85</v>
      </c>
      <c r="D169">
        <v>23296.75</v>
      </c>
      <c r="E169">
        <v>23330.85</v>
      </c>
      <c r="F169" s="2">
        <f t="shared" si="7"/>
        <v>34.099999999998545</v>
      </c>
      <c r="G169" s="3">
        <f t="shared" si="8"/>
        <v>51.604984057434201</v>
      </c>
      <c r="H169" t="str">
        <f t="shared" si="6"/>
        <v>2026-06</v>
      </c>
      <c r="I169">
        <v>3</v>
      </c>
    </row>
    <row r="170" spans="1:9" x14ac:dyDescent="0.25">
      <c r="A170" t="s">
        <v>175</v>
      </c>
      <c r="B170">
        <v>23330.25</v>
      </c>
      <c r="C170">
        <v>23341.95</v>
      </c>
      <c r="D170">
        <v>23313.5</v>
      </c>
      <c r="E170">
        <v>23320.15</v>
      </c>
      <c r="F170" s="2">
        <f t="shared" si="7"/>
        <v>28.450000000000728</v>
      </c>
      <c r="G170" s="3">
        <f t="shared" si="8"/>
        <v>49.951056624760383</v>
      </c>
      <c r="H170" t="str">
        <f t="shared" si="6"/>
        <v>2026-06</v>
      </c>
      <c r="I170">
        <v>3</v>
      </c>
    </row>
    <row r="171" spans="1:9" x14ac:dyDescent="0.25">
      <c r="A171" t="s">
        <v>176</v>
      </c>
      <c r="B171">
        <v>23320.9</v>
      </c>
      <c r="C171">
        <v>23354.05</v>
      </c>
      <c r="D171">
        <v>23301</v>
      </c>
      <c r="E171">
        <v>23351.599999999999</v>
      </c>
      <c r="F171" s="2">
        <f t="shared" si="7"/>
        <v>53.049999999999272</v>
      </c>
      <c r="G171" s="3">
        <f t="shared" si="8"/>
        <v>50.172409722991738</v>
      </c>
      <c r="H171" t="str">
        <f t="shared" si="6"/>
        <v>2026-06</v>
      </c>
      <c r="I171">
        <v>3</v>
      </c>
    </row>
    <row r="172" spans="1:9" x14ac:dyDescent="0.25">
      <c r="A172" t="s">
        <v>177</v>
      </c>
      <c r="B172">
        <v>23351.8</v>
      </c>
      <c r="C172">
        <v>23405.05</v>
      </c>
      <c r="D172">
        <v>23318.75</v>
      </c>
      <c r="E172">
        <v>23398.799999999999</v>
      </c>
      <c r="F172" s="2">
        <f t="shared" si="7"/>
        <v>86.299999999999272</v>
      </c>
      <c r="G172" s="3">
        <f t="shared" si="8"/>
        <v>52.752951885635134</v>
      </c>
      <c r="H172" t="str">
        <f t="shared" si="6"/>
        <v>2026-06</v>
      </c>
      <c r="I172">
        <v>3</v>
      </c>
    </row>
    <row r="173" spans="1:9" x14ac:dyDescent="0.25">
      <c r="A173" t="s">
        <v>178</v>
      </c>
      <c r="B173">
        <v>23398.05</v>
      </c>
      <c r="C173">
        <v>23418.25</v>
      </c>
      <c r="D173">
        <v>23353.3</v>
      </c>
      <c r="E173">
        <v>23361.8</v>
      </c>
      <c r="F173" s="2">
        <f t="shared" si="7"/>
        <v>64.950000000000728</v>
      </c>
      <c r="G173" s="3">
        <f t="shared" si="8"/>
        <v>53.624169608089815</v>
      </c>
      <c r="H173" t="str">
        <f t="shared" si="6"/>
        <v>2026-06</v>
      </c>
      <c r="I173">
        <v>3</v>
      </c>
    </row>
    <row r="174" spans="1:9" x14ac:dyDescent="0.25">
      <c r="A174" t="s">
        <v>179</v>
      </c>
      <c r="B174">
        <v>23363.200000000001</v>
      </c>
      <c r="C174">
        <v>23369.85</v>
      </c>
      <c r="D174">
        <v>23326.95</v>
      </c>
      <c r="E174">
        <v>23365.75</v>
      </c>
      <c r="F174" s="2">
        <f t="shared" si="7"/>
        <v>42.899999999997817</v>
      </c>
      <c r="G174" s="3">
        <f t="shared" si="8"/>
        <v>52.858157493226102</v>
      </c>
      <c r="H174" t="str">
        <f t="shared" si="6"/>
        <v>2026-06</v>
      </c>
      <c r="I174">
        <v>3</v>
      </c>
    </row>
    <row r="175" spans="1:9" x14ac:dyDescent="0.25">
      <c r="A175" t="s">
        <v>180</v>
      </c>
      <c r="B175">
        <v>23366.55</v>
      </c>
      <c r="C175">
        <v>23386.5</v>
      </c>
      <c r="D175">
        <v>23361.05</v>
      </c>
      <c r="E175">
        <v>23368.85</v>
      </c>
      <c r="F175" s="2">
        <f t="shared" si="7"/>
        <v>25.450000000000728</v>
      </c>
      <c r="G175" s="3">
        <f t="shared" si="8"/>
        <v>50.900431957995714</v>
      </c>
      <c r="H175" t="str">
        <f t="shared" si="6"/>
        <v>2026-06</v>
      </c>
      <c r="I175">
        <v>3</v>
      </c>
    </row>
    <row r="176" spans="1:9" x14ac:dyDescent="0.25">
      <c r="A176" t="s">
        <v>181</v>
      </c>
      <c r="B176">
        <v>23078.05</v>
      </c>
      <c r="C176">
        <v>23157.05</v>
      </c>
      <c r="D176">
        <v>23070.15</v>
      </c>
      <c r="E176">
        <v>23155.5</v>
      </c>
      <c r="F176" s="2">
        <f t="shared" si="7"/>
        <v>298.69999999999709</v>
      </c>
      <c r="G176" s="3">
        <f t="shared" si="8"/>
        <v>68.600401103852946</v>
      </c>
      <c r="H176" t="str">
        <f t="shared" si="6"/>
        <v>2026-06</v>
      </c>
      <c r="I176">
        <v>3</v>
      </c>
    </row>
    <row r="177" spans="1:9" x14ac:dyDescent="0.25">
      <c r="A177" t="s">
        <v>182</v>
      </c>
      <c r="B177">
        <v>23156.1</v>
      </c>
      <c r="C177">
        <v>23185.200000000001</v>
      </c>
      <c r="D177">
        <v>23132.85</v>
      </c>
      <c r="E177">
        <v>23159.15</v>
      </c>
      <c r="F177" s="2">
        <f t="shared" si="7"/>
        <v>52.350000000002183</v>
      </c>
      <c r="G177" s="3">
        <f t="shared" si="8"/>
        <v>67.439658167863598</v>
      </c>
      <c r="H177" t="str">
        <f t="shared" si="6"/>
        <v>2026-06</v>
      </c>
      <c r="I177">
        <v>3</v>
      </c>
    </row>
    <row r="178" spans="1:9" x14ac:dyDescent="0.25">
      <c r="A178" t="s">
        <v>183</v>
      </c>
      <c r="B178">
        <v>23159.85</v>
      </c>
      <c r="C178">
        <v>23202</v>
      </c>
      <c r="D178">
        <v>23125.25</v>
      </c>
      <c r="E178">
        <v>23199.5</v>
      </c>
      <c r="F178" s="2">
        <f t="shared" si="7"/>
        <v>76.75</v>
      </c>
      <c r="G178" s="3">
        <f t="shared" si="8"/>
        <v>68.104682584444774</v>
      </c>
      <c r="H178" t="str">
        <f t="shared" si="6"/>
        <v>2026-06</v>
      </c>
      <c r="I178">
        <v>3</v>
      </c>
    </row>
    <row r="179" spans="1:9" x14ac:dyDescent="0.25">
      <c r="A179" t="s">
        <v>184</v>
      </c>
      <c r="B179">
        <v>23199.85</v>
      </c>
      <c r="C179">
        <v>23200.400000000001</v>
      </c>
      <c r="D179">
        <v>23154.35</v>
      </c>
      <c r="E179">
        <v>23174.25</v>
      </c>
      <c r="F179" s="2">
        <f t="shared" si="7"/>
        <v>46.05000000000291</v>
      </c>
      <c r="G179" s="3">
        <f t="shared" si="8"/>
        <v>66.529348114127501</v>
      </c>
      <c r="H179" t="str">
        <f t="shared" si="6"/>
        <v>2026-06</v>
      </c>
      <c r="I179">
        <v>3</v>
      </c>
    </row>
    <row r="180" spans="1:9" x14ac:dyDescent="0.25">
      <c r="A180" t="s">
        <v>185</v>
      </c>
      <c r="B180">
        <v>23174.55</v>
      </c>
      <c r="C180">
        <v>23188</v>
      </c>
      <c r="D180">
        <v>23163.25</v>
      </c>
      <c r="E180">
        <v>23172.45</v>
      </c>
      <c r="F180" s="2">
        <f t="shared" si="7"/>
        <v>24.75</v>
      </c>
      <c r="G180" s="3">
        <f t="shared" si="8"/>
        <v>63.545108963118388</v>
      </c>
      <c r="H180" t="str">
        <f t="shared" si="6"/>
        <v>2026-06</v>
      </c>
      <c r="I180">
        <v>3</v>
      </c>
    </row>
    <row r="181" spans="1:9" x14ac:dyDescent="0.25">
      <c r="A181" t="s">
        <v>186</v>
      </c>
      <c r="B181">
        <v>23173.200000000001</v>
      </c>
      <c r="C181">
        <v>23223.45</v>
      </c>
      <c r="D181">
        <v>23172.3</v>
      </c>
      <c r="E181">
        <v>23191.65</v>
      </c>
      <c r="F181" s="2">
        <f t="shared" si="7"/>
        <v>51.150000000001455</v>
      </c>
      <c r="G181" s="3">
        <f t="shared" si="8"/>
        <v>62.659744037181461</v>
      </c>
      <c r="H181" t="str">
        <f t="shared" si="6"/>
        <v>2026-06</v>
      </c>
      <c r="I181">
        <v>3</v>
      </c>
    </row>
    <row r="182" spans="1:9" x14ac:dyDescent="0.25">
      <c r="A182" t="s">
        <v>187</v>
      </c>
      <c r="B182">
        <v>23192.25</v>
      </c>
      <c r="C182">
        <v>23218.7</v>
      </c>
      <c r="D182">
        <v>23181.1</v>
      </c>
      <c r="E182">
        <v>23217.45</v>
      </c>
      <c r="F182" s="2">
        <f t="shared" si="7"/>
        <v>37.600000000002183</v>
      </c>
      <c r="G182" s="3">
        <f t="shared" si="8"/>
        <v>60.869762320240078</v>
      </c>
      <c r="H182" t="str">
        <f t="shared" si="6"/>
        <v>2026-06</v>
      </c>
      <c r="I182">
        <v>3</v>
      </c>
    </row>
    <row r="183" spans="1:9" x14ac:dyDescent="0.25">
      <c r="A183" t="s">
        <v>188</v>
      </c>
      <c r="B183">
        <v>23217.9</v>
      </c>
      <c r="C183">
        <v>23218.6</v>
      </c>
      <c r="D183">
        <v>23192.75</v>
      </c>
      <c r="E183">
        <v>23198.85</v>
      </c>
      <c r="F183" s="2">
        <f t="shared" si="7"/>
        <v>25.849999999998545</v>
      </c>
      <c r="G183" s="3">
        <f t="shared" si="8"/>
        <v>58.368350725937105</v>
      </c>
      <c r="H183" t="str">
        <f t="shared" si="6"/>
        <v>2026-06</v>
      </c>
      <c r="I183">
        <v>3</v>
      </c>
    </row>
    <row r="184" spans="1:9" x14ac:dyDescent="0.25">
      <c r="A184" t="s">
        <v>189</v>
      </c>
      <c r="B184">
        <v>23199.75</v>
      </c>
      <c r="C184">
        <v>23204.7</v>
      </c>
      <c r="D184">
        <v>23179</v>
      </c>
      <c r="E184">
        <v>23186.15</v>
      </c>
      <c r="F184" s="2">
        <f t="shared" si="7"/>
        <v>25.700000000000728</v>
      </c>
      <c r="G184" s="3">
        <f t="shared" si="8"/>
        <v>56.034897102655933</v>
      </c>
      <c r="H184" t="str">
        <f t="shared" si="6"/>
        <v>2026-06</v>
      </c>
      <c r="I184">
        <v>3</v>
      </c>
    </row>
    <row r="185" spans="1:9" x14ac:dyDescent="0.25">
      <c r="A185" t="s">
        <v>190</v>
      </c>
      <c r="B185">
        <v>23186.55</v>
      </c>
      <c r="C185">
        <v>23211.599999999999</v>
      </c>
      <c r="D185">
        <v>23182.7</v>
      </c>
      <c r="E185">
        <v>23205.45</v>
      </c>
      <c r="F185" s="2">
        <f t="shared" si="7"/>
        <v>28.899999999997817</v>
      </c>
      <c r="G185" s="3">
        <f t="shared" si="8"/>
        <v>54.096690166751785</v>
      </c>
      <c r="H185" t="str">
        <f t="shared" si="6"/>
        <v>2026-06</v>
      </c>
      <c r="I185">
        <v>3</v>
      </c>
    </row>
    <row r="186" spans="1:9" x14ac:dyDescent="0.25">
      <c r="A186" t="s">
        <v>191</v>
      </c>
      <c r="B186">
        <v>23206.1</v>
      </c>
      <c r="C186">
        <v>23215.3</v>
      </c>
      <c r="D186">
        <v>23198.3</v>
      </c>
      <c r="E186">
        <v>23205.45</v>
      </c>
      <c r="F186" s="2">
        <f t="shared" si="7"/>
        <v>17</v>
      </c>
      <c r="G186" s="3">
        <f t="shared" si="8"/>
        <v>51.446926583412377</v>
      </c>
      <c r="H186" t="str">
        <f t="shared" si="6"/>
        <v>2026-06</v>
      </c>
      <c r="I186">
        <v>3</v>
      </c>
    </row>
    <row r="187" spans="1:9" x14ac:dyDescent="0.25">
      <c r="A187" t="s">
        <v>192</v>
      </c>
      <c r="B187">
        <v>23205.8</v>
      </c>
      <c r="C187">
        <v>23224.400000000001</v>
      </c>
      <c r="D187">
        <v>23193.8</v>
      </c>
      <c r="E187">
        <v>23212.45</v>
      </c>
      <c r="F187" s="2">
        <f t="shared" si="7"/>
        <v>30.600000000002183</v>
      </c>
      <c r="G187" s="3">
        <f t="shared" si="8"/>
        <v>49.957860398883078</v>
      </c>
      <c r="H187" t="str">
        <f t="shared" si="6"/>
        <v>2026-06</v>
      </c>
      <c r="I187">
        <v>3</v>
      </c>
    </row>
    <row r="188" spans="1:9" x14ac:dyDescent="0.25">
      <c r="A188" t="s">
        <v>193</v>
      </c>
      <c r="B188">
        <v>23213</v>
      </c>
      <c r="C188">
        <v>23226.45</v>
      </c>
      <c r="D188">
        <v>23208</v>
      </c>
      <c r="E188">
        <v>23218.75</v>
      </c>
      <c r="F188" s="2">
        <f t="shared" si="7"/>
        <v>18.450000000000728</v>
      </c>
      <c r="G188" s="3">
        <f t="shared" si="8"/>
        <v>47.707298941820056</v>
      </c>
      <c r="H188" t="str">
        <f t="shared" si="6"/>
        <v>2026-06</v>
      </c>
      <c r="I188">
        <v>3</v>
      </c>
    </row>
    <row r="189" spans="1:9" x14ac:dyDescent="0.25">
      <c r="A189" t="s">
        <v>194</v>
      </c>
      <c r="B189">
        <v>23219.200000000001</v>
      </c>
      <c r="C189">
        <v>23245.599999999999</v>
      </c>
      <c r="D189">
        <v>23215.25</v>
      </c>
      <c r="E189">
        <v>23237.85</v>
      </c>
      <c r="F189" s="2">
        <f t="shared" si="7"/>
        <v>30.349999999998545</v>
      </c>
      <c r="G189" s="3">
        <f t="shared" si="8"/>
        <v>46.467491874547086</v>
      </c>
      <c r="H189" t="str">
        <f t="shared" si="6"/>
        <v>2026-06</v>
      </c>
      <c r="I189">
        <v>3</v>
      </c>
    </row>
    <row r="190" spans="1:9" x14ac:dyDescent="0.25">
      <c r="A190" t="s">
        <v>195</v>
      </c>
      <c r="B190">
        <v>23238.65</v>
      </c>
      <c r="C190">
        <v>23267.3</v>
      </c>
      <c r="D190">
        <v>23229.599999999999</v>
      </c>
      <c r="E190">
        <v>23246.15</v>
      </c>
      <c r="F190" s="2">
        <f t="shared" si="7"/>
        <v>37.700000000000728</v>
      </c>
      <c r="G190" s="3">
        <f t="shared" si="8"/>
        <v>45.841242454936626</v>
      </c>
      <c r="H190" t="str">
        <f t="shared" si="6"/>
        <v>2026-06</v>
      </c>
      <c r="I190">
        <v>3</v>
      </c>
    </row>
    <row r="191" spans="1:9" x14ac:dyDescent="0.25">
      <c r="A191" t="s">
        <v>196</v>
      </c>
      <c r="B191">
        <v>23247.1</v>
      </c>
      <c r="C191">
        <v>23247.8</v>
      </c>
      <c r="D191">
        <v>23212.55</v>
      </c>
      <c r="E191">
        <v>23216.3</v>
      </c>
      <c r="F191" s="2">
        <f t="shared" si="7"/>
        <v>35.25</v>
      </c>
      <c r="G191" s="3">
        <f t="shared" si="8"/>
        <v>45.084725136726867</v>
      </c>
      <c r="H191" t="str">
        <f t="shared" si="6"/>
        <v>2026-06</v>
      </c>
      <c r="I191">
        <v>3</v>
      </c>
    </row>
    <row r="192" spans="1:9" x14ac:dyDescent="0.25">
      <c r="A192" t="s">
        <v>197</v>
      </c>
      <c r="B192">
        <v>23216.5</v>
      </c>
      <c r="C192">
        <v>23225.7</v>
      </c>
      <c r="D192">
        <v>23194.7</v>
      </c>
      <c r="E192">
        <v>23209.05</v>
      </c>
      <c r="F192" s="2">
        <f t="shared" si="7"/>
        <v>31</v>
      </c>
      <c r="G192" s="3">
        <f t="shared" si="8"/>
        <v>44.078673341246379</v>
      </c>
      <c r="H192" t="str">
        <f t="shared" si="6"/>
        <v>2026-06</v>
      </c>
      <c r="I192">
        <v>3</v>
      </c>
    </row>
    <row r="193" spans="1:9" x14ac:dyDescent="0.25">
      <c r="A193" t="s">
        <v>198</v>
      </c>
      <c r="B193">
        <v>23208.7</v>
      </c>
      <c r="C193">
        <v>23215.3</v>
      </c>
      <c r="D193">
        <v>23169.75</v>
      </c>
      <c r="E193">
        <v>23171</v>
      </c>
      <c r="F193" s="2">
        <f t="shared" si="7"/>
        <v>45.549999999999272</v>
      </c>
      <c r="G193" s="3">
        <f t="shared" si="8"/>
        <v>44.183768102585873</v>
      </c>
      <c r="H193" t="str">
        <f t="shared" si="6"/>
        <v>2026-06</v>
      </c>
      <c r="I193">
        <v>3</v>
      </c>
    </row>
    <row r="194" spans="1:9" x14ac:dyDescent="0.25">
      <c r="A194" t="s">
        <v>199</v>
      </c>
      <c r="B194">
        <v>23171.9</v>
      </c>
      <c r="C194">
        <v>23177</v>
      </c>
      <c r="D194">
        <v>23150.400000000001</v>
      </c>
      <c r="E194">
        <v>23172.45</v>
      </c>
      <c r="F194" s="2">
        <f t="shared" si="7"/>
        <v>26.599999999998545</v>
      </c>
      <c r="G194" s="3">
        <f t="shared" si="8"/>
        <v>42.927784666686776</v>
      </c>
      <c r="H194" t="str">
        <f t="shared" ref="H194:H257" si="9">LEFT(A194,7)</f>
        <v>2026-06</v>
      </c>
      <c r="I194">
        <v>3</v>
      </c>
    </row>
    <row r="195" spans="1:9" x14ac:dyDescent="0.25">
      <c r="A195" t="s">
        <v>200</v>
      </c>
      <c r="B195">
        <v>23173.45</v>
      </c>
      <c r="C195">
        <v>23184.7</v>
      </c>
      <c r="D195">
        <v>23156.25</v>
      </c>
      <c r="E195">
        <v>23156.85</v>
      </c>
      <c r="F195" s="2">
        <f t="shared" ref="F195:F258" si="10">MAX(C195-D195,ABS(C195-E194),ABS(D195-E194))</f>
        <v>28.450000000000728</v>
      </c>
      <c r="G195" s="3">
        <f t="shared" si="8"/>
        <v>41.89365719049492</v>
      </c>
      <c r="H195" t="str">
        <f t="shared" si="9"/>
        <v>2026-06</v>
      </c>
      <c r="I195">
        <v>3</v>
      </c>
    </row>
    <row r="196" spans="1:9" x14ac:dyDescent="0.25">
      <c r="A196" t="s">
        <v>201</v>
      </c>
      <c r="B196">
        <v>23157.35</v>
      </c>
      <c r="C196">
        <v>23173.200000000001</v>
      </c>
      <c r="D196">
        <v>23145.7</v>
      </c>
      <c r="E196">
        <v>23149.1</v>
      </c>
      <c r="F196" s="2">
        <f t="shared" si="10"/>
        <v>27.5</v>
      </c>
      <c r="G196" s="3">
        <f t="shared" si="8"/>
        <v>40.865538819745282</v>
      </c>
      <c r="H196" t="str">
        <f t="shared" si="9"/>
        <v>2026-06</v>
      </c>
      <c r="I196">
        <v>3</v>
      </c>
    </row>
    <row r="197" spans="1:9" x14ac:dyDescent="0.25">
      <c r="A197" t="s">
        <v>202</v>
      </c>
      <c r="B197">
        <v>23148.6</v>
      </c>
      <c r="C197">
        <v>23181</v>
      </c>
      <c r="D197">
        <v>23147.3</v>
      </c>
      <c r="E197">
        <v>23179.9</v>
      </c>
      <c r="F197" s="2">
        <f t="shared" si="10"/>
        <v>33.700000000000728</v>
      </c>
      <c r="G197" s="3">
        <f t="shared" si="8"/>
        <v>40.353714618334955</v>
      </c>
      <c r="H197" t="str">
        <f t="shared" si="9"/>
        <v>2026-06</v>
      </c>
      <c r="I197">
        <v>3</v>
      </c>
    </row>
    <row r="198" spans="1:9" x14ac:dyDescent="0.25">
      <c r="A198" t="s">
        <v>203</v>
      </c>
      <c r="B198">
        <v>23181.4</v>
      </c>
      <c r="C198">
        <v>23196.7</v>
      </c>
      <c r="D198">
        <v>23160.6</v>
      </c>
      <c r="E198">
        <v>23179</v>
      </c>
      <c r="F198" s="2">
        <f t="shared" si="10"/>
        <v>36.100000000002183</v>
      </c>
      <c r="G198" s="3">
        <f t="shared" si="8"/>
        <v>40.049877859882614</v>
      </c>
      <c r="H198" t="str">
        <f t="shared" si="9"/>
        <v>2026-06</v>
      </c>
      <c r="I198">
        <v>3</v>
      </c>
    </row>
    <row r="199" spans="1:9" x14ac:dyDescent="0.25">
      <c r="A199" t="s">
        <v>204</v>
      </c>
      <c r="B199">
        <v>23182.400000000001</v>
      </c>
      <c r="C199">
        <v>23182.400000000001</v>
      </c>
      <c r="D199">
        <v>23107.05</v>
      </c>
      <c r="E199">
        <v>23134.45</v>
      </c>
      <c r="F199" s="2">
        <f t="shared" si="10"/>
        <v>75.350000000002183</v>
      </c>
      <c r="G199" s="3">
        <f t="shared" si="8"/>
        <v>42.57131515560544</v>
      </c>
      <c r="H199" t="str">
        <f t="shared" si="9"/>
        <v>2026-06</v>
      </c>
      <c r="I199">
        <v>3</v>
      </c>
    </row>
    <row r="200" spans="1:9" x14ac:dyDescent="0.25">
      <c r="A200" t="s">
        <v>205</v>
      </c>
      <c r="B200">
        <v>23134.05</v>
      </c>
      <c r="C200">
        <v>23135.8</v>
      </c>
      <c r="D200">
        <v>23089.9</v>
      </c>
      <c r="E200">
        <v>23103.7</v>
      </c>
      <c r="F200" s="2">
        <f t="shared" si="10"/>
        <v>45.899999999997817</v>
      </c>
      <c r="G200" s="3">
        <f t="shared" si="8"/>
        <v>42.809078358776326</v>
      </c>
      <c r="H200" t="str">
        <f t="shared" si="9"/>
        <v>2026-06</v>
      </c>
      <c r="I200">
        <v>3</v>
      </c>
    </row>
    <row r="201" spans="1:9" x14ac:dyDescent="0.25">
      <c r="A201" t="s">
        <v>206</v>
      </c>
      <c r="B201">
        <v>23259.45</v>
      </c>
      <c r="C201">
        <v>23259.45</v>
      </c>
      <c r="D201">
        <v>23194.9</v>
      </c>
      <c r="E201">
        <v>23224.95</v>
      </c>
      <c r="F201" s="2">
        <f t="shared" si="10"/>
        <v>155.75</v>
      </c>
      <c r="G201" s="3">
        <f t="shared" si="8"/>
        <v>50.876287047435156</v>
      </c>
      <c r="H201" t="str">
        <f t="shared" si="9"/>
        <v>2026-06</v>
      </c>
      <c r="I201">
        <v>3</v>
      </c>
    </row>
    <row r="202" spans="1:9" x14ac:dyDescent="0.25">
      <c r="A202" t="s">
        <v>207</v>
      </c>
      <c r="B202">
        <v>23225.05</v>
      </c>
      <c r="C202">
        <v>23252.05</v>
      </c>
      <c r="D202">
        <v>23196.400000000001</v>
      </c>
      <c r="E202">
        <v>23196.400000000001</v>
      </c>
      <c r="F202" s="2">
        <f t="shared" si="10"/>
        <v>55.649999999997817</v>
      </c>
      <c r="G202" s="3">
        <f t="shared" si="8"/>
        <v>51.217266544046772</v>
      </c>
      <c r="H202" t="str">
        <f t="shared" si="9"/>
        <v>2026-06</v>
      </c>
      <c r="I202">
        <v>3</v>
      </c>
    </row>
    <row r="203" spans="1:9" x14ac:dyDescent="0.25">
      <c r="A203" t="s">
        <v>208</v>
      </c>
      <c r="B203">
        <v>23196.799999999999</v>
      </c>
      <c r="C203">
        <v>23218.15</v>
      </c>
      <c r="D203">
        <v>23180.55</v>
      </c>
      <c r="E203">
        <v>23188.35</v>
      </c>
      <c r="F203" s="2">
        <f t="shared" si="10"/>
        <v>37.600000000002183</v>
      </c>
      <c r="G203" s="3">
        <f t="shared" si="8"/>
        <v>50.244604648043591</v>
      </c>
      <c r="H203" t="str">
        <f t="shared" si="9"/>
        <v>2026-06</v>
      </c>
      <c r="I203">
        <v>3</v>
      </c>
    </row>
    <row r="204" spans="1:9" x14ac:dyDescent="0.25">
      <c r="A204" t="s">
        <v>209</v>
      </c>
      <c r="B204">
        <v>23188.75</v>
      </c>
      <c r="C204">
        <v>23192.9</v>
      </c>
      <c r="D204">
        <v>23160.5</v>
      </c>
      <c r="E204">
        <v>23168.1</v>
      </c>
      <c r="F204" s="2">
        <f t="shared" si="10"/>
        <v>32.400000000001455</v>
      </c>
      <c r="G204" s="3">
        <f t="shared" si="8"/>
        <v>48.969990030326294</v>
      </c>
      <c r="H204" t="str">
        <f t="shared" si="9"/>
        <v>2026-06</v>
      </c>
      <c r="I204">
        <v>3</v>
      </c>
    </row>
    <row r="205" spans="1:9" x14ac:dyDescent="0.25">
      <c r="A205" t="s">
        <v>210</v>
      </c>
      <c r="B205">
        <v>23167.75</v>
      </c>
      <c r="C205">
        <v>23177.35</v>
      </c>
      <c r="D205">
        <v>23148.7</v>
      </c>
      <c r="E205">
        <v>23162.35</v>
      </c>
      <c r="F205" s="2">
        <f t="shared" si="10"/>
        <v>28.649999999997817</v>
      </c>
      <c r="G205" s="3">
        <f t="shared" si="8"/>
        <v>47.518562171017116</v>
      </c>
      <c r="H205" t="str">
        <f t="shared" si="9"/>
        <v>2026-06</v>
      </c>
      <c r="I205">
        <v>3</v>
      </c>
    </row>
    <row r="206" spans="1:9" x14ac:dyDescent="0.25">
      <c r="A206" t="s">
        <v>211</v>
      </c>
      <c r="B206">
        <v>23162.5</v>
      </c>
      <c r="C206">
        <v>23166.400000000001</v>
      </c>
      <c r="D206">
        <v>23146.9</v>
      </c>
      <c r="E206">
        <v>23164.35</v>
      </c>
      <c r="F206" s="2">
        <f t="shared" si="10"/>
        <v>19.5</v>
      </c>
      <c r="G206" s="3">
        <f t="shared" si="8"/>
        <v>45.517236301658748</v>
      </c>
      <c r="H206" t="str">
        <f t="shared" si="9"/>
        <v>2026-06</v>
      </c>
      <c r="I206">
        <v>3</v>
      </c>
    </row>
    <row r="207" spans="1:9" x14ac:dyDescent="0.25">
      <c r="A207" t="s">
        <v>212</v>
      </c>
      <c r="B207">
        <v>23164.55</v>
      </c>
      <c r="C207">
        <v>23168.05</v>
      </c>
      <c r="D207">
        <v>23129.1</v>
      </c>
      <c r="E207">
        <v>23154.5</v>
      </c>
      <c r="F207" s="2">
        <f t="shared" si="10"/>
        <v>38.950000000000728</v>
      </c>
      <c r="G207" s="3">
        <f t="shared" si="8"/>
        <v>45.048147994397461</v>
      </c>
      <c r="H207" t="str">
        <f t="shared" si="9"/>
        <v>2026-06</v>
      </c>
      <c r="I207">
        <v>3</v>
      </c>
    </row>
    <row r="208" spans="1:9" x14ac:dyDescent="0.25">
      <c r="A208" t="s">
        <v>213</v>
      </c>
      <c r="B208">
        <v>23154.55</v>
      </c>
      <c r="C208">
        <v>23161.9</v>
      </c>
      <c r="D208">
        <v>23142.5</v>
      </c>
      <c r="E208">
        <v>23145</v>
      </c>
      <c r="F208" s="2">
        <f t="shared" si="10"/>
        <v>19.400000000001455</v>
      </c>
      <c r="G208" s="3">
        <f t="shared" ref="G208:G271" si="11">(G207*13+F208)/14</f>
        <v>43.216137423369176</v>
      </c>
      <c r="H208" t="str">
        <f t="shared" si="9"/>
        <v>2026-06</v>
      </c>
      <c r="I208">
        <v>3</v>
      </c>
    </row>
    <row r="209" spans="1:9" x14ac:dyDescent="0.25">
      <c r="A209" t="s">
        <v>214</v>
      </c>
      <c r="B209">
        <v>23146</v>
      </c>
      <c r="C209">
        <v>23158.55</v>
      </c>
      <c r="D209">
        <v>23104.45</v>
      </c>
      <c r="E209">
        <v>23131.95</v>
      </c>
      <c r="F209" s="2">
        <f t="shared" si="10"/>
        <v>54.099999999998545</v>
      </c>
      <c r="G209" s="3">
        <f t="shared" si="11"/>
        <v>43.993556178842702</v>
      </c>
      <c r="H209" t="str">
        <f t="shared" si="9"/>
        <v>2026-06</v>
      </c>
      <c r="I209">
        <v>3</v>
      </c>
    </row>
    <row r="210" spans="1:9" x14ac:dyDescent="0.25">
      <c r="A210" t="s">
        <v>215</v>
      </c>
      <c r="B210">
        <v>23132.15</v>
      </c>
      <c r="C210">
        <v>23160.65</v>
      </c>
      <c r="D210">
        <v>23126.1</v>
      </c>
      <c r="E210">
        <v>23151.55</v>
      </c>
      <c r="F210" s="2">
        <f t="shared" si="10"/>
        <v>34.55000000000291</v>
      </c>
      <c r="G210" s="3">
        <f t="shared" si="11"/>
        <v>43.319016451782716</v>
      </c>
      <c r="H210" t="str">
        <f t="shared" si="9"/>
        <v>2026-06</v>
      </c>
      <c r="I210">
        <v>3</v>
      </c>
    </row>
    <row r="211" spans="1:9" x14ac:dyDescent="0.25">
      <c r="A211" t="s">
        <v>216</v>
      </c>
      <c r="B211">
        <v>23150.85</v>
      </c>
      <c r="C211">
        <v>23196.2</v>
      </c>
      <c r="D211">
        <v>23145.45</v>
      </c>
      <c r="E211">
        <v>23181.3</v>
      </c>
      <c r="F211" s="2">
        <f t="shared" si="10"/>
        <v>50.75</v>
      </c>
      <c r="G211" s="3">
        <f t="shared" si="11"/>
        <v>43.849800990941098</v>
      </c>
      <c r="H211" t="str">
        <f t="shared" si="9"/>
        <v>2026-06</v>
      </c>
      <c r="I211">
        <v>3</v>
      </c>
    </row>
    <row r="212" spans="1:9" x14ac:dyDescent="0.25">
      <c r="A212" t="s">
        <v>217</v>
      </c>
      <c r="B212">
        <v>23181.200000000001</v>
      </c>
      <c r="C212">
        <v>23204.5</v>
      </c>
      <c r="D212">
        <v>23176.5</v>
      </c>
      <c r="E212">
        <v>23186.799999999999</v>
      </c>
      <c r="F212" s="2">
        <f t="shared" si="10"/>
        <v>28</v>
      </c>
      <c r="G212" s="3">
        <f t="shared" si="11"/>
        <v>42.717672348731021</v>
      </c>
      <c r="H212" t="str">
        <f t="shared" si="9"/>
        <v>2026-06</v>
      </c>
      <c r="I212">
        <v>3</v>
      </c>
    </row>
    <row r="213" spans="1:9" x14ac:dyDescent="0.25">
      <c r="A213" t="s">
        <v>218</v>
      </c>
      <c r="B213">
        <v>23187.65</v>
      </c>
      <c r="C213">
        <v>23209.4</v>
      </c>
      <c r="D213">
        <v>23184.65</v>
      </c>
      <c r="E213">
        <v>23206.25</v>
      </c>
      <c r="F213" s="2">
        <f t="shared" si="10"/>
        <v>24.75</v>
      </c>
      <c r="G213" s="3">
        <f t="shared" si="11"/>
        <v>41.434267180964518</v>
      </c>
      <c r="H213" t="str">
        <f t="shared" si="9"/>
        <v>2026-06</v>
      </c>
      <c r="I213">
        <v>3</v>
      </c>
    </row>
    <row r="214" spans="1:9" x14ac:dyDescent="0.25">
      <c r="A214" t="s">
        <v>219</v>
      </c>
      <c r="B214">
        <v>23205.3</v>
      </c>
      <c r="C214">
        <v>23226.65</v>
      </c>
      <c r="D214">
        <v>23196.75</v>
      </c>
      <c r="E214">
        <v>23208</v>
      </c>
      <c r="F214" s="2">
        <f t="shared" si="10"/>
        <v>29.900000000001455</v>
      </c>
      <c r="G214" s="3">
        <f t="shared" si="11"/>
        <v>40.610390953752869</v>
      </c>
      <c r="H214" t="str">
        <f t="shared" si="9"/>
        <v>2026-06</v>
      </c>
      <c r="I214">
        <v>3</v>
      </c>
    </row>
    <row r="215" spans="1:9" x14ac:dyDescent="0.25">
      <c r="A215" t="s">
        <v>220</v>
      </c>
      <c r="B215">
        <v>23207.4</v>
      </c>
      <c r="C215">
        <v>23219.35</v>
      </c>
      <c r="D215">
        <v>23177.5</v>
      </c>
      <c r="E215">
        <v>23181.9</v>
      </c>
      <c r="F215" s="2">
        <f t="shared" si="10"/>
        <v>41.849999999998545</v>
      </c>
      <c r="G215" s="3">
        <f t="shared" si="11"/>
        <v>40.698934457056126</v>
      </c>
      <c r="H215" t="str">
        <f t="shared" si="9"/>
        <v>2026-06</v>
      </c>
      <c r="I215">
        <v>3</v>
      </c>
    </row>
    <row r="216" spans="1:9" x14ac:dyDescent="0.25">
      <c r="A216" t="s">
        <v>221</v>
      </c>
      <c r="B216">
        <v>23181.4</v>
      </c>
      <c r="C216">
        <v>23212.05</v>
      </c>
      <c r="D216">
        <v>23181.15</v>
      </c>
      <c r="E216">
        <v>23208.1</v>
      </c>
      <c r="F216" s="2">
        <f t="shared" si="10"/>
        <v>30.899999999997817</v>
      </c>
      <c r="G216" s="3">
        <f t="shared" si="11"/>
        <v>39.999010567266247</v>
      </c>
      <c r="H216" t="str">
        <f t="shared" si="9"/>
        <v>2026-06</v>
      </c>
      <c r="I216">
        <v>3</v>
      </c>
    </row>
    <row r="217" spans="1:9" x14ac:dyDescent="0.25">
      <c r="A217" t="s">
        <v>222</v>
      </c>
      <c r="B217">
        <v>23208.75</v>
      </c>
      <c r="C217">
        <v>23223.200000000001</v>
      </c>
      <c r="D217">
        <v>23193.9</v>
      </c>
      <c r="E217">
        <v>23204.7</v>
      </c>
      <c r="F217" s="2">
        <f t="shared" si="10"/>
        <v>29.299999999999272</v>
      </c>
      <c r="G217" s="3">
        <f t="shared" si="11"/>
        <v>39.234795526747178</v>
      </c>
      <c r="H217" t="str">
        <f t="shared" si="9"/>
        <v>2026-06</v>
      </c>
      <c r="I217">
        <v>3</v>
      </c>
    </row>
    <row r="218" spans="1:9" x14ac:dyDescent="0.25">
      <c r="A218" t="s">
        <v>223</v>
      </c>
      <c r="B218">
        <v>23204.65</v>
      </c>
      <c r="C218">
        <v>23222.25</v>
      </c>
      <c r="D218">
        <v>23186.799999999999</v>
      </c>
      <c r="E218">
        <v>23218.5</v>
      </c>
      <c r="F218" s="2">
        <f t="shared" si="10"/>
        <v>35.450000000000728</v>
      </c>
      <c r="G218" s="3">
        <f t="shared" si="11"/>
        <v>38.964452989122428</v>
      </c>
      <c r="H218" t="str">
        <f t="shared" si="9"/>
        <v>2026-06</v>
      </c>
      <c r="I218">
        <v>3</v>
      </c>
    </row>
    <row r="219" spans="1:9" x14ac:dyDescent="0.25">
      <c r="A219" t="s">
        <v>224</v>
      </c>
      <c r="B219">
        <v>23218.65</v>
      </c>
      <c r="C219">
        <v>23220.45</v>
      </c>
      <c r="D219">
        <v>23175.3</v>
      </c>
      <c r="E219">
        <v>23189.599999999999</v>
      </c>
      <c r="F219" s="2">
        <f t="shared" si="10"/>
        <v>45.150000000001455</v>
      </c>
      <c r="G219" s="3">
        <f t="shared" si="11"/>
        <v>39.406277775613781</v>
      </c>
      <c r="H219" t="str">
        <f t="shared" si="9"/>
        <v>2026-06</v>
      </c>
      <c r="I219">
        <v>3</v>
      </c>
    </row>
    <row r="220" spans="1:9" x14ac:dyDescent="0.25">
      <c r="A220" t="s">
        <v>225</v>
      </c>
      <c r="B220">
        <v>23189.65</v>
      </c>
      <c r="C220">
        <v>23218.65</v>
      </c>
      <c r="D220">
        <v>23178.45</v>
      </c>
      <c r="E220">
        <v>23206.45</v>
      </c>
      <c r="F220" s="2">
        <f t="shared" si="10"/>
        <v>40.200000000000728</v>
      </c>
      <c r="G220" s="3">
        <f t="shared" si="11"/>
        <v>39.462972220212848</v>
      </c>
      <c r="H220" t="str">
        <f t="shared" si="9"/>
        <v>2026-06</v>
      </c>
      <c r="I220">
        <v>3</v>
      </c>
    </row>
    <row r="221" spans="1:9" x14ac:dyDescent="0.25">
      <c r="A221" t="s">
        <v>226</v>
      </c>
      <c r="B221">
        <v>23206.05</v>
      </c>
      <c r="C221">
        <v>23217.05</v>
      </c>
      <c r="D221">
        <v>23187.3</v>
      </c>
      <c r="E221">
        <v>23216.65</v>
      </c>
      <c r="F221" s="2">
        <f t="shared" si="10"/>
        <v>29.75</v>
      </c>
      <c r="G221" s="3">
        <f t="shared" si="11"/>
        <v>38.769188490197642</v>
      </c>
      <c r="H221" t="str">
        <f t="shared" si="9"/>
        <v>2026-06</v>
      </c>
      <c r="I221">
        <v>3</v>
      </c>
    </row>
    <row r="222" spans="1:9" x14ac:dyDescent="0.25">
      <c r="A222" t="s">
        <v>227</v>
      </c>
      <c r="B222">
        <v>23216.85</v>
      </c>
      <c r="C222">
        <v>23261.15</v>
      </c>
      <c r="D222">
        <v>23203</v>
      </c>
      <c r="E222">
        <v>23250.7</v>
      </c>
      <c r="F222" s="2">
        <f t="shared" si="10"/>
        <v>58.150000000001455</v>
      </c>
      <c r="G222" s="3">
        <f t="shared" si="11"/>
        <v>40.153532169469337</v>
      </c>
      <c r="H222" t="str">
        <f t="shared" si="9"/>
        <v>2026-06</v>
      </c>
      <c r="I222">
        <v>3</v>
      </c>
    </row>
    <row r="223" spans="1:9" x14ac:dyDescent="0.25">
      <c r="A223" t="s">
        <v>228</v>
      </c>
      <c r="B223">
        <v>23251.15</v>
      </c>
      <c r="C223">
        <v>23279.4</v>
      </c>
      <c r="D223">
        <v>23239.45</v>
      </c>
      <c r="E223">
        <v>23274.400000000001</v>
      </c>
      <c r="F223" s="2">
        <f t="shared" si="10"/>
        <v>39.950000000000728</v>
      </c>
      <c r="G223" s="3">
        <f t="shared" si="11"/>
        <v>40.138994157364436</v>
      </c>
      <c r="H223" t="str">
        <f t="shared" si="9"/>
        <v>2026-06</v>
      </c>
      <c r="I223">
        <v>3</v>
      </c>
    </row>
    <row r="224" spans="1:9" x14ac:dyDescent="0.25">
      <c r="A224" t="s">
        <v>229</v>
      </c>
      <c r="B224">
        <v>23274.65</v>
      </c>
      <c r="C224">
        <v>23274.65</v>
      </c>
      <c r="D224">
        <v>23230.5</v>
      </c>
      <c r="E224">
        <v>23244.799999999999</v>
      </c>
      <c r="F224" s="2">
        <f t="shared" si="10"/>
        <v>44.150000000001455</v>
      </c>
      <c r="G224" s="3">
        <f t="shared" si="11"/>
        <v>40.425494574695655</v>
      </c>
      <c r="H224" t="str">
        <f t="shared" si="9"/>
        <v>2026-06</v>
      </c>
      <c r="I224">
        <v>3</v>
      </c>
    </row>
    <row r="225" spans="1:9" x14ac:dyDescent="0.25">
      <c r="A225" t="s">
        <v>230</v>
      </c>
      <c r="B225">
        <v>23244.2</v>
      </c>
      <c r="C225">
        <v>23261.05</v>
      </c>
      <c r="D225">
        <v>23225.05</v>
      </c>
      <c r="E225">
        <v>23254.799999999999</v>
      </c>
      <c r="F225" s="2">
        <f t="shared" si="10"/>
        <v>36</v>
      </c>
      <c r="G225" s="3">
        <f t="shared" si="11"/>
        <v>40.109387819360258</v>
      </c>
      <c r="H225" t="str">
        <f t="shared" si="9"/>
        <v>2026-06</v>
      </c>
      <c r="I225">
        <v>3</v>
      </c>
    </row>
    <row r="226" spans="1:9" x14ac:dyDescent="0.25">
      <c r="A226" t="s">
        <v>231</v>
      </c>
      <c r="B226">
        <v>23235.5</v>
      </c>
      <c r="C226">
        <v>23350.2</v>
      </c>
      <c r="D226">
        <v>23217.3</v>
      </c>
      <c r="E226">
        <v>23339.75</v>
      </c>
      <c r="F226" s="2">
        <f t="shared" si="10"/>
        <v>132.90000000000146</v>
      </c>
      <c r="G226" s="3">
        <f t="shared" si="11"/>
        <v>46.737288689406057</v>
      </c>
      <c r="H226" t="str">
        <f t="shared" si="9"/>
        <v>2026-06</v>
      </c>
      <c r="I226">
        <v>3</v>
      </c>
    </row>
    <row r="227" spans="1:9" x14ac:dyDescent="0.25">
      <c r="A227" t="s">
        <v>232</v>
      </c>
      <c r="B227">
        <v>23339.45</v>
      </c>
      <c r="C227">
        <v>23356.9</v>
      </c>
      <c r="D227">
        <v>23329.7</v>
      </c>
      <c r="E227">
        <v>23355.05</v>
      </c>
      <c r="F227" s="2">
        <f t="shared" si="10"/>
        <v>27.200000000000728</v>
      </c>
      <c r="G227" s="3">
        <f t="shared" si="11"/>
        <v>45.341768068734254</v>
      </c>
      <c r="H227" t="str">
        <f t="shared" si="9"/>
        <v>2026-06</v>
      </c>
      <c r="I227">
        <v>3</v>
      </c>
    </row>
    <row r="228" spans="1:9" x14ac:dyDescent="0.25">
      <c r="A228" t="s">
        <v>233</v>
      </c>
      <c r="B228">
        <v>23353.7</v>
      </c>
      <c r="C228">
        <v>23384.45</v>
      </c>
      <c r="D228">
        <v>23353.200000000001</v>
      </c>
      <c r="E228">
        <v>23366.6</v>
      </c>
      <c r="F228" s="2">
        <f t="shared" si="10"/>
        <v>31.25</v>
      </c>
      <c r="G228" s="3">
        <f t="shared" si="11"/>
        <v>44.335213206681807</v>
      </c>
      <c r="H228" t="str">
        <f t="shared" si="9"/>
        <v>2026-06</v>
      </c>
      <c r="I228">
        <v>3</v>
      </c>
    </row>
    <row r="229" spans="1:9" x14ac:dyDescent="0.25">
      <c r="A229" t="s">
        <v>234</v>
      </c>
      <c r="B229">
        <v>23365.7</v>
      </c>
      <c r="C229">
        <v>23370.55</v>
      </c>
      <c r="D229">
        <v>23317</v>
      </c>
      <c r="E229">
        <v>23317</v>
      </c>
      <c r="F229" s="2">
        <f t="shared" si="10"/>
        <v>53.549999999999272</v>
      </c>
      <c r="G229" s="3">
        <f t="shared" si="11"/>
        <v>44.993412263347345</v>
      </c>
      <c r="H229" t="str">
        <f t="shared" si="9"/>
        <v>2026-06</v>
      </c>
      <c r="I229">
        <v>3</v>
      </c>
    </row>
    <row r="230" spans="1:9" x14ac:dyDescent="0.25">
      <c r="A230" t="s">
        <v>235</v>
      </c>
      <c r="B230">
        <v>23317.3</v>
      </c>
      <c r="C230">
        <v>23338.35</v>
      </c>
      <c r="D230">
        <v>23305.8</v>
      </c>
      <c r="E230">
        <v>23319.4</v>
      </c>
      <c r="F230" s="2">
        <f t="shared" si="10"/>
        <v>32.549999999999272</v>
      </c>
      <c r="G230" s="3">
        <f t="shared" si="11"/>
        <v>44.10459710167963</v>
      </c>
      <c r="H230" t="str">
        <f t="shared" si="9"/>
        <v>2026-06</v>
      </c>
      <c r="I230">
        <v>3</v>
      </c>
    </row>
    <row r="231" spans="1:9" x14ac:dyDescent="0.25">
      <c r="A231" t="s">
        <v>236</v>
      </c>
      <c r="B231">
        <v>23319.3</v>
      </c>
      <c r="C231">
        <v>23351.55</v>
      </c>
      <c r="D231">
        <v>23317.7</v>
      </c>
      <c r="E231">
        <v>23345.95</v>
      </c>
      <c r="F231" s="2">
        <f t="shared" si="10"/>
        <v>33.849999999998545</v>
      </c>
      <c r="G231" s="3">
        <f t="shared" si="11"/>
        <v>43.37212588013098</v>
      </c>
      <c r="H231" t="str">
        <f t="shared" si="9"/>
        <v>2026-06</v>
      </c>
      <c r="I231">
        <v>3</v>
      </c>
    </row>
    <row r="232" spans="1:9" x14ac:dyDescent="0.25">
      <c r="A232" t="s">
        <v>237</v>
      </c>
      <c r="B232">
        <v>23345.8</v>
      </c>
      <c r="C232">
        <v>23378.55</v>
      </c>
      <c r="D232">
        <v>23341.45</v>
      </c>
      <c r="E232">
        <v>23378.55</v>
      </c>
      <c r="F232" s="2">
        <f t="shared" si="10"/>
        <v>37.099999999998545</v>
      </c>
      <c r="G232" s="3">
        <f t="shared" si="11"/>
        <v>42.92411688869295</v>
      </c>
      <c r="H232" t="str">
        <f t="shared" si="9"/>
        <v>2026-06</v>
      </c>
      <c r="I232">
        <v>3</v>
      </c>
    </row>
    <row r="233" spans="1:9" x14ac:dyDescent="0.25">
      <c r="A233" t="s">
        <v>238</v>
      </c>
      <c r="B233">
        <v>23380</v>
      </c>
      <c r="C233">
        <v>23388.9</v>
      </c>
      <c r="D233">
        <v>23362.85</v>
      </c>
      <c r="E233">
        <v>23373.65</v>
      </c>
      <c r="F233" s="2">
        <f t="shared" si="10"/>
        <v>26.05000000000291</v>
      </c>
      <c r="G233" s="3">
        <f t="shared" si="11"/>
        <v>41.718822825215092</v>
      </c>
      <c r="H233" t="str">
        <f t="shared" si="9"/>
        <v>2026-06</v>
      </c>
      <c r="I233">
        <v>3</v>
      </c>
    </row>
    <row r="234" spans="1:9" x14ac:dyDescent="0.25">
      <c r="A234" t="s">
        <v>239</v>
      </c>
      <c r="B234">
        <v>23373.8</v>
      </c>
      <c r="C234">
        <v>23398.1</v>
      </c>
      <c r="D234">
        <v>23359.95</v>
      </c>
      <c r="E234">
        <v>23396.75</v>
      </c>
      <c r="F234" s="2">
        <f t="shared" si="10"/>
        <v>38.149999999997817</v>
      </c>
      <c r="G234" s="3">
        <f t="shared" si="11"/>
        <v>41.463906909128141</v>
      </c>
      <c r="H234" t="str">
        <f t="shared" si="9"/>
        <v>2026-06</v>
      </c>
      <c r="I234">
        <v>3</v>
      </c>
    </row>
    <row r="235" spans="1:9" x14ac:dyDescent="0.25">
      <c r="A235" t="s">
        <v>240</v>
      </c>
      <c r="B235">
        <v>23396.9</v>
      </c>
      <c r="C235">
        <v>23409.8</v>
      </c>
      <c r="D235">
        <v>23385.85</v>
      </c>
      <c r="E235">
        <v>23406</v>
      </c>
      <c r="F235" s="2">
        <f t="shared" si="10"/>
        <v>23.950000000000728</v>
      </c>
      <c r="G235" s="3">
        <f t="shared" si="11"/>
        <v>40.212913558476188</v>
      </c>
      <c r="H235" t="str">
        <f t="shared" si="9"/>
        <v>2026-06</v>
      </c>
      <c r="I235">
        <v>3</v>
      </c>
    </row>
    <row r="236" spans="1:9" x14ac:dyDescent="0.25">
      <c r="A236" t="s">
        <v>241</v>
      </c>
      <c r="B236">
        <v>23405.95</v>
      </c>
      <c r="C236">
        <v>23406.3</v>
      </c>
      <c r="D236">
        <v>23389.5</v>
      </c>
      <c r="E236">
        <v>23402.799999999999</v>
      </c>
      <c r="F236" s="2">
        <f t="shared" si="10"/>
        <v>16.799999999999272</v>
      </c>
      <c r="G236" s="3">
        <f t="shared" si="11"/>
        <v>38.54056259001355</v>
      </c>
      <c r="H236" t="str">
        <f t="shared" si="9"/>
        <v>2026-06</v>
      </c>
      <c r="I236">
        <v>3</v>
      </c>
    </row>
    <row r="237" spans="1:9" x14ac:dyDescent="0.25">
      <c r="A237" t="s">
        <v>242</v>
      </c>
      <c r="B237">
        <v>23403.3</v>
      </c>
      <c r="C237">
        <v>23404.65</v>
      </c>
      <c r="D237">
        <v>23376.45</v>
      </c>
      <c r="E237">
        <v>23395.4</v>
      </c>
      <c r="F237" s="2">
        <f t="shared" si="10"/>
        <v>28.200000000000728</v>
      </c>
      <c r="G237" s="3">
        <f t="shared" si="11"/>
        <v>37.801950976441212</v>
      </c>
      <c r="H237" t="str">
        <f t="shared" si="9"/>
        <v>2026-06</v>
      </c>
      <c r="I237">
        <v>3</v>
      </c>
    </row>
    <row r="238" spans="1:9" x14ac:dyDescent="0.25">
      <c r="A238" t="s">
        <v>243</v>
      </c>
      <c r="B238">
        <v>23395.25</v>
      </c>
      <c r="C238">
        <v>23397.25</v>
      </c>
      <c r="D238">
        <v>23374.3</v>
      </c>
      <c r="E238">
        <v>23375.25</v>
      </c>
      <c r="F238" s="2">
        <f t="shared" si="10"/>
        <v>22.950000000000728</v>
      </c>
      <c r="G238" s="3">
        <f t="shared" si="11"/>
        <v>36.741097335266886</v>
      </c>
      <c r="H238" t="str">
        <f t="shared" si="9"/>
        <v>2026-06</v>
      </c>
      <c r="I238">
        <v>3</v>
      </c>
    </row>
    <row r="239" spans="1:9" x14ac:dyDescent="0.25">
      <c r="A239" t="s">
        <v>244</v>
      </c>
      <c r="B239">
        <v>23375.95</v>
      </c>
      <c r="C239">
        <v>23381.35</v>
      </c>
      <c r="D239">
        <v>23346.6</v>
      </c>
      <c r="E239">
        <v>23347.75</v>
      </c>
      <c r="F239" s="2">
        <f t="shared" si="10"/>
        <v>34.75</v>
      </c>
      <c r="G239" s="3">
        <f t="shared" si="11"/>
        <v>36.598876097033539</v>
      </c>
      <c r="H239" t="str">
        <f t="shared" si="9"/>
        <v>2026-06</v>
      </c>
      <c r="I239">
        <v>3</v>
      </c>
    </row>
    <row r="240" spans="1:9" x14ac:dyDescent="0.25">
      <c r="A240" t="s">
        <v>245</v>
      </c>
      <c r="B240">
        <v>23347.85</v>
      </c>
      <c r="C240">
        <v>23385.45</v>
      </c>
      <c r="D240">
        <v>23333.200000000001</v>
      </c>
      <c r="E240">
        <v>23380.05</v>
      </c>
      <c r="F240" s="2">
        <f t="shared" si="10"/>
        <v>52.25</v>
      </c>
      <c r="G240" s="3">
        <f t="shared" si="11"/>
        <v>37.716813518673995</v>
      </c>
      <c r="H240" t="str">
        <f t="shared" si="9"/>
        <v>2026-06</v>
      </c>
      <c r="I240">
        <v>3</v>
      </c>
    </row>
    <row r="241" spans="1:9" x14ac:dyDescent="0.25">
      <c r="A241" t="s">
        <v>246</v>
      </c>
      <c r="B241">
        <v>23380</v>
      </c>
      <c r="C241">
        <v>23425.35</v>
      </c>
      <c r="D241">
        <v>23380</v>
      </c>
      <c r="E241">
        <v>23405.15</v>
      </c>
      <c r="F241" s="2">
        <f t="shared" si="10"/>
        <v>45.349999999998545</v>
      </c>
      <c r="G241" s="3">
        <f t="shared" si="11"/>
        <v>38.262041124482892</v>
      </c>
      <c r="H241" t="str">
        <f t="shared" si="9"/>
        <v>2026-06</v>
      </c>
      <c r="I241">
        <v>3</v>
      </c>
    </row>
    <row r="242" spans="1:9" x14ac:dyDescent="0.25">
      <c r="A242" t="s">
        <v>247</v>
      </c>
      <c r="B242">
        <v>23405.65</v>
      </c>
      <c r="C242">
        <v>23410.3</v>
      </c>
      <c r="D242">
        <v>23371.75</v>
      </c>
      <c r="E242">
        <v>23398.3</v>
      </c>
      <c r="F242" s="2">
        <f t="shared" si="10"/>
        <v>38.549999999999272</v>
      </c>
      <c r="G242" s="3">
        <f t="shared" si="11"/>
        <v>38.282609615591205</v>
      </c>
      <c r="H242" t="str">
        <f t="shared" si="9"/>
        <v>2026-06</v>
      </c>
      <c r="I242">
        <v>3</v>
      </c>
    </row>
    <row r="243" spans="1:9" x14ac:dyDescent="0.25">
      <c r="A243" t="s">
        <v>248</v>
      </c>
      <c r="B243">
        <v>23397.95</v>
      </c>
      <c r="C243">
        <v>23407.35</v>
      </c>
      <c r="D243">
        <v>23351.9</v>
      </c>
      <c r="E243">
        <v>23358.85</v>
      </c>
      <c r="F243" s="2">
        <f t="shared" si="10"/>
        <v>55.44999999999709</v>
      </c>
      <c r="G243" s="3">
        <f t="shared" si="11"/>
        <v>39.508851785905911</v>
      </c>
      <c r="H243" t="str">
        <f t="shared" si="9"/>
        <v>2026-06</v>
      </c>
      <c r="I243">
        <v>3</v>
      </c>
    </row>
    <row r="244" spans="1:9" x14ac:dyDescent="0.25">
      <c r="A244" t="s">
        <v>249</v>
      </c>
      <c r="B244">
        <v>23358.3</v>
      </c>
      <c r="C244">
        <v>23377.45</v>
      </c>
      <c r="D244">
        <v>23347.05</v>
      </c>
      <c r="E244">
        <v>23352.95</v>
      </c>
      <c r="F244" s="2">
        <f t="shared" si="10"/>
        <v>30.400000000001455</v>
      </c>
      <c r="G244" s="3">
        <f t="shared" si="11"/>
        <v>38.858219515484166</v>
      </c>
      <c r="H244" t="str">
        <f t="shared" si="9"/>
        <v>2026-06</v>
      </c>
      <c r="I244">
        <v>3</v>
      </c>
    </row>
    <row r="245" spans="1:9" x14ac:dyDescent="0.25">
      <c r="A245" t="s">
        <v>250</v>
      </c>
      <c r="B245">
        <v>23352.400000000001</v>
      </c>
      <c r="C245">
        <v>23364.75</v>
      </c>
      <c r="D245">
        <v>23315</v>
      </c>
      <c r="E245">
        <v>23317.15</v>
      </c>
      <c r="F245" s="2">
        <f t="shared" si="10"/>
        <v>49.75</v>
      </c>
      <c r="G245" s="3">
        <f t="shared" si="11"/>
        <v>39.636203835806725</v>
      </c>
      <c r="H245" t="str">
        <f t="shared" si="9"/>
        <v>2026-06</v>
      </c>
      <c r="I245">
        <v>3</v>
      </c>
    </row>
    <row r="246" spans="1:9" x14ac:dyDescent="0.25">
      <c r="A246" t="s">
        <v>251</v>
      </c>
      <c r="B246">
        <v>23317.25</v>
      </c>
      <c r="C246">
        <v>23339.8</v>
      </c>
      <c r="D246">
        <v>23307.45</v>
      </c>
      <c r="E246">
        <v>23315.5</v>
      </c>
      <c r="F246" s="2">
        <f t="shared" si="10"/>
        <v>32.349999999998545</v>
      </c>
      <c r="G246" s="3">
        <f t="shared" si="11"/>
        <v>39.115760704677577</v>
      </c>
      <c r="H246" t="str">
        <f t="shared" si="9"/>
        <v>2026-06</v>
      </c>
      <c r="I246">
        <v>3</v>
      </c>
    </row>
    <row r="247" spans="1:9" x14ac:dyDescent="0.25">
      <c r="A247" t="s">
        <v>252</v>
      </c>
      <c r="B247">
        <v>23316.35</v>
      </c>
      <c r="C247">
        <v>23320.85</v>
      </c>
      <c r="D247">
        <v>23260.3</v>
      </c>
      <c r="E247">
        <v>23261.599999999999</v>
      </c>
      <c r="F247" s="2">
        <f t="shared" si="10"/>
        <v>60.549999999999272</v>
      </c>
      <c r="G247" s="3">
        <f t="shared" si="11"/>
        <v>40.646777797200556</v>
      </c>
      <c r="H247" t="str">
        <f t="shared" si="9"/>
        <v>2026-06</v>
      </c>
      <c r="I247">
        <v>3</v>
      </c>
    </row>
    <row r="248" spans="1:9" x14ac:dyDescent="0.25">
      <c r="A248" t="s">
        <v>253</v>
      </c>
      <c r="B248">
        <v>23262.85</v>
      </c>
      <c r="C248">
        <v>23271.95</v>
      </c>
      <c r="D248">
        <v>23243.85</v>
      </c>
      <c r="E248">
        <v>23256.75</v>
      </c>
      <c r="F248" s="2">
        <f t="shared" si="10"/>
        <v>28.100000000002183</v>
      </c>
      <c r="G248" s="3">
        <f t="shared" si="11"/>
        <v>39.750579383114953</v>
      </c>
      <c r="H248" t="str">
        <f t="shared" si="9"/>
        <v>2026-06</v>
      </c>
      <c r="I248">
        <v>3</v>
      </c>
    </row>
    <row r="249" spans="1:9" x14ac:dyDescent="0.25">
      <c r="A249" t="s">
        <v>254</v>
      </c>
      <c r="B249">
        <v>23256.85</v>
      </c>
      <c r="C249">
        <v>23259.1</v>
      </c>
      <c r="D249">
        <v>23198.35</v>
      </c>
      <c r="E249">
        <v>23199.7</v>
      </c>
      <c r="F249" s="2">
        <f t="shared" si="10"/>
        <v>60.75</v>
      </c>
      <c r="G249" s="3">
        <f t="shared" si="11"/>
        <v>41.250537998606738</v>
      </c>
      <c r="H249" t="str">
        <f t="shared" si="9"/>
        <v>2026-06</v>
      </c>
      <c r="I249">
        <v>3</v>
      </c>
    </row>
    <row r="250" spans="1:9" x14ac:dyDescent="0.25">
      <c r="A250" t="s">
        <v>255</v>
      </c>
      <c r="B250">
        <v>23200.75</v>
      </c>
      <c r="C250">
        <v>23216.799999999999</v>
      </c>
      <c r="D250">
        <v>23184.6</v>
      </c>
      <c r="E250">
        <v>23216.1</v>
      </c>
      <c r="F250" s="2">
        <f t="shared" si="10"/>
        <v>32.200000000000728</v>
      </c>
      <c r="G250" s="3">
        <f t="shared" si="11"/>
        <v>40.604070998706312</v>
      </c>
      <c r="H250" t="str">
        <f t="shared" si="9"/>
        <v>2026-06</v>
      </c>
      <c r="I250">
        <v>3</v>
      </c>
    </row>
    <row r="251" spans="1:9" x14ac:dyDescent="0.25">
      <c r="A251" t="s">
        <v>256</v>
      </c>
      <c r="B251">
        <v>23101.25</v>
      </c>
      <c r="C251">
        <v>23148.05</v>
      </c>
      <c r="D251">
        <v>23072.05</v>
      </c>
      <c r="E251">
        <v>23119.35</v>
      </c>
      <c r="F251" s="2">
        <f t="shared" si="10"/>
        <v>144.04999999999927</v>
      </c>
      <c r="G251" s="3">
        <f t="shared" si="11"/>
        <v>47.993065927370097</v>
      </c>
      <c r="H251" t="str">
        <f t="shared" si="9"/>
        <v>2026-06</v>
      </c>
      <c r="I251">
        <v>3</v>
      </c>
    </row>
    <row r="252" spans="1:9" x14ac:dyDescent="0.25">
      <c r="A252" t="s">
        <v>257</v>
      </c>
      <c r="B252">
        <v>23121.9</v>
      </c>
      <c r="C252">
        <v>23148.6</v>
      </c>
      <c r="D252">
        <v>23093.15</v>
      </c>
      <c r="E252">
        <v>23143.599999999999</v>
      </c>
      <c r="F252" s="2">
        <f t="shared" si="10"/>
        <v>55.44999999999709</v>
      </c>
      <c r="G252" s="3">
        <f t="shared" si="11"/>
        <v>48.525704075414879</v>
      </c>
      <c r="H252" t="str">
        <f t="shared" si="9"/>
        <v>2026-06</v>
      </c>
      <c r="I252">
        <v>3</v>
      </c>
    </row>
    <row r="253" spans="1:9" x14ac:dyDescent="0.25">
      <c r="A253" t="s">
        <v>258</v>
      </c>
      <c r="B253">
        <v>23144.25</v>
      </c>
      <c r="C253">
        <v>23172.85</v>
      </c>
      <c r="D253">
        <v>23112.6</v>
      </c>
      <c r="E253">
        <v>23115.7</v>
      </c>
      <c r="F253" s="2">
        <f t="shared" si="10"/>
        <v>60.25</v>
      </c>
      <c r="G253" s="3">
        <f t="shared" si="11"/>
        <v>49.363153784313816</v>
      </c>
      <c r="H253" t="str">
        <f t="shared" si="9"/>
        <v>2026-06</v>
      </c>
      <c r="I253">
        <v>3</v>
      </c>
    </row>
    <row r="254" spans="1:9" x14ac:dyDescent="0.25">
      <c r="A254" t="s">
        <v>259</v>
      </c>
      <c r="B254">
        <v>23117.599999999999</v>
      </c>
      <c r="C254">
        <v>23164.5</v>
      </c>
      <c r="D254">
        <v>23102.85</v>
      </c>
      <c r="E254">
        <v>23145.5</v>
      </c>
      <c r="F254" s="2">
        <f t="shared" si="10"/>
        <v>61.650000000001455</v>
      </c>
      <c r="G254" s="3">
        <f t="shared" si="11"/>
        <v>50.240785656862933</v>
      </c>
      <c r="H254" t="str">
        <f t="shared" si="9"/>
        <v>2026-06</v>
      </c>
      <c r="I254">
        <v>3</v>
      </c>
    </row>
    <row r="255" spans="1:9" x14ac:dyDescent="0.25">
      <c r="A255" t="s">
        <v>260</v>
      </c>
      <c r="B255">
        <v>23147.5</v>
      </c>
      <c r="C255">
        <v>23207.8</v>
      </c>
      <c r="D255">
        <v>23144.7</v>
      </c>
      <c r="E255">
        <v>23199.5</v>
      </c>
      <c r="F255" s="2">
        <f t="shared" si="10"/>
        <v>63.099999999998545</v>
      </c>
      <c r="G255" s="3">
        <f t="shared" si="11"/>
        <v>51.159300967086907</v>
      </c>
      <c r="H255" t="str">
        <f t="shared" si="9"/>
        <v>2026-06</v>
      </c>
      <c r="I255">
        <v>3</v>
      </c>
    </row>
    <row r="256" spans="1:9" x14ac:dyDescent="0.25">
      <c r="A256" t="s">
        <v>261</v>
      </c>
      <c r="B256">
        <v>23201.1</v>
      </c>
      <c r="C256">
        <v>23214.05</v>
      </c>
      <c r="D256">
        <v>23185.15</v>
      </c>
      <c r="E256">
        <v>23203.200000000001</v>
      </c>
      <c r="F256" s="2">
        <f t="shared" si="10"/>
        <v>28.899999999997817</v>
      </c>
      <c r="G256" s="3">
        <f t="shared" si="11"/>
        <v>49.56935089800912</v>
      </c>
      <c r="H256" t="str">
        <f t="shared" si="9"/>
        <v>2026-06</v>
      </c>
      <c r="I256">
        <v>3</v>
      </c>
    </row>
    <row r="257" spans="1:9" x14ac:dyDescent="0.25">
      <c r="A257" t="s">
        <v>262</v>
      </c>
      <c r="B257">
        <v>23204.85</v>
      </c>
      <c r="C257">
        <v>23211.85</v>
      </c>
      <c r="D257">
        <v>23167.200000000001</v>
      </c>
      <c r="E257">
        <v>23174.55</v>
      </c>
      <c r="F257" s="2">
        <f t="shared" si="10"/>
        <v>44.649999999997817</v>
      </c>
      <c r="G257" s="3">
        <f t="shared" si="11"/>
        <v>49.217968691008309</v>
      </c>
      <c r="H257" t="str">
        <f t="shared" si="9"/>
        <v>2026-06</v>
      </c>
      <c r="I257">
        <v>3</v>
      </c>
    </row>
    <row r="258" spans="1:9" x14ac:dyDescent="0.25">
      <c r="A258" t="s">
        <v>263</v>
      </c>
      <c r="B258">
        <v>23176.55</v>
      </c>
      <c r="C258">
        <v>23205</v>
      </c>
      <c r="D258">
        <v>23162.5</v>
      </c>
      <c r="E258">
        <v>23181.65</v>
      </c>
      <c r="F258" s="2">
        <f t="shared" si="10"/>
        <v>42.5</v>
      </c>
      <c r="G258" s="3">
        <f t="shared" si="11"/>
        <v>48.738113784507718</v>
      </c>
      <c r="H258" t="str">
        <f t="shared" ref="H258:H321" si="12">LEFT(A258,7)</f>
        <v>2026-06</v>
      </c>
      <c r="I258">
        <v>3</v>
      </c>
    </row>
    <row r="259" spans="1:9" x14ac:dyDescent="0.25">
      <c r="A259" t="s">
        <v>264</v>
      </c>
      <c r="B259">
        <v>23183.200000000001</v>
      </c>
      <c r="C259">
        <v>23236.799999999999</v>
      </c>
      <c r="D259">
        <v>23181.55</v>
      </c>
      <c r="E259">
        <v>23235.45</v>
      </c>
      <c r="F259" s="2">
        <f t="shared" ref="F259:F322" si="13">MAX(C259-D259,ABS(C259-E258),ABS(D259-E258))</f>
        <v>55.25</v>
      </c>
      <c r="G259" s="3">
        <f t="shared" si="11"/>
        <v>49.203248514185738</v>
      </c>
      <c r="H259" t="str">
        <f t="shared" si="12"/>
        <v>2026-06</v>
      </c>
      <c r="I259">
        <v>3</v>
      </c>
    </row>
    <row r="260" spans="1:9" x14ac:dyDescent="0.25">
      <c r="A260" t="s">
        <v>265</v>
      </c>
      <c r="B260">
        <v>23237.65</v>
      </c>
      <c r="C260">
        <v>23251.85</v>
      </c>
      <c r="D260">
        <v>23210.65</v>
      </c>
      <c r="E260">
        <v>23251.7</v>
      </c>
      <c r="F260" s="2">
        <f t="shared" si="13"/>
        <v>41.19999999999709</v>
      </c>
      <c r="G260" s="3">
        <f t="shared" si="11"/>
        <v>48.631587906029402</v>
      </c>
      <c r="H260" t="str">
        <f t="shared" si="12"/>
        <v>2026-06</v>
      </c>
      <c r="I260">
        <v>3</v>
      </c>
    </row>
    <row r="261" spans="1:9" x14ac:dyDescent="0.25">
      <c r="A261" t="s">
        <v>266</v>
      </c>
      <c r="B261">
        <v>23253.9</v>
      </c>
      <c r="C261">
        <v>23291.7</v>
      </c>
      <c r="D261">
        <v>23251.05</v>
      </c>
      <c r="E261">
        <v>23281.15</v>
      </c>
      <c r="F261" s="2">
        <f t="shared" si="13"/>
        <v>40.650000000001455</v>
      </c>
      <c r="G261" s="3">
        <f t="shared" si="11"/>
        <v>48.061474484170262</v>
      </c>
      <c r="H261" t="str">
        <f t="shared" si="12"/>
        <v>2026-06</v>
      </c>
      <c r="I261">
        <v>3</v>
      </c>
    </row>
    <row r="262" spans="1:9" x14ac:dyDescent="0.25">
      <c r="A262" t="s">
        <v>267</v>
      </c>
      <c r="B262">
        <v>23283.15</v>
      </c>
      <c r="C262">
        <v>23292.7</v>
      </c>
      <c r="D262">
        <v>23272.55</v>
      </c>
      <c r="E262">
        <v>23285.25</v>
      </c>
      <c r="F262" s="2">
        <f t="shared" si="13"/>
        <v>20.150000000001455</v>
      </c>
      <c r="G262" s="3">
        <f t="shared" si="11"/>
        <v>46.067797735301056</v>
      </c>
      <c r="H262" t="str">
        <f t="shared" si="12"/>
        <v>2026-06</v>
      </c>
      <c r="I262">
        <v>3</v>
      </c>
    </row>
    <row r="263" spans="1:9" x14ac:dyDescent="0.25">
      <c r="A263" t="s">
        <v>268</v>
      </c>
      <c r="B263">
        <v>23287.55</v>
      </c>
      <c r="C263">
        <v>23307.05</v>
      </c>
      <c r="D263">
        <v>23278.35</v>
      </c>
      <c r="E263">
        <v>23295.599999999999</v>
      </c>
      <c r="F263" s="2">
        <f t="shared" si="13"/>
        <v>28.700000000000728</v>
      </c>
      <c r="G263" s="3">
        <f t="shared" si="11"/>
        <v>44.827240754208177</v>
      </c>
      <c r="H263" t="str">
        <f t="shared" si="12"/>
        <v>2026-06</v>
      </c>
      <c r="I263">
        <v>3</v>
      </c>
    </row>
    <row r="264" spans="1:9" x14ac:dyDescent="0.25">
      <c r="A264" t="s">
        <v>269</v>
      </c>
      <c r="B264">
        <v>23297.599999999999</v>
      </c>
      <c r="C264">
        <v>23324.25</v>
      </c>
      <c r="D264">
        <v>23288.1</v>
      </c>
      <c r="E264">
        <v>23294.400000000001</v>
      </c>
      <c r="F264" s="2">
        <f t="shared" si="13"/>
        <v>36.150000000001455</v>
      </c>
      <c r="G264" s="3">
        <f t="shared" si="11"/>
        <v>44.207437843193411</v>
      </c>
      <c r="H264" t="str">
        <f t="shared" si="12"/>
        <v>2026-06</v>
      </c>
      <c r="I264">
        <v>3</v>
      </c>
    </row>
    <row r="265" spans="1:9" x14ac:dyDescent="0.25">
      <c r="A265" t="s">
        <v>270</v>
      </c>
      <c r="B265">
        <v>23296.1</v>
      </c>
      <c r="C265">
        <v>23307.3</v>
      </c>
      <c r="D265">
        <v>23272.7</v>
      </c>
      <c r="E265">
        <v>23306.75</v>
      </c>
      <c r="F265" s="2">
        <f t="shared" si="13"/>
        <v>34.599999999998545</v>
      </c>
      <c r="G265" s="3">
        <f t="shared" si="11"/>
        <v>43.52119228296521</v>
      </c>
      <c r="H265" t="str">
        <f t="shared" si="12"/>
        <v>2026-06</v>
      </c>
      <c r="I265">
        <v>3</v>
      </c>
    </row>
    <row r="266" spans="1:9" x14ac:dyDescent="0.25">
      <c r="A266" t="s">
        <v>271</v>
      </c>
      <c r="B266">
        <v>23308.25</v>
      </c>
      <c r="C266">
        <v>23327.45</v>
      </c>
      <c r="D266">
        <v>23256.3</v>
      </c>
      <c r="E266">
        <v>23257.7</v>
      </c>
      <c r="F266" s="2">
        <f t="shared" si="13"/>
        <v>71.150000000001455</v>
      </c>
      <c r="G266" s="3">
        <f t="shared" si="11"/>
        <v>45.494678548467796</v>
      </c>
      <c r="H266" t="str">
        <f t="shared" si="12"/>
        <v>2026-06</v>
      </c>
      <c r="I266">
        <v>3</v>
      </c>
    </row>
    <row r="267" spans="1:9" x14ac:dyDescent="0.25">
      <c r="A267" t="s">
        <v>272</v>
      </c>
      <c r="B267">
        <v>23259.45</v>
      </c>
      <c r="C267">
        <v>23264.65</v>
      </c>
      <c r="D267">
        <v>23220.45</v>
      </c>
      <c r="E267">
        <v>23241</v>
      </c>
      <c r="F267" s="2">
        <f t="shared" si="13"/>
        <v>44.200000000000728</v>
      </c>
      <c r="G267" s="3">
        <f t="shared" si="11"/>
        <v>45.402201509291572</v>
      </c>
      <c r="H267" t="str">
        <f t="shared" si="12"/>
        <v>2026-06</v>
      </c>
      <c r="I267">
        <v>3</v>
      </c>
    </row>
    <row r="268" spans="1:9" x14ac:dyDescent="0.25">
      <c r="A268" t="s">
        <v>273</v>
      </c>
      <c r="B268">
        <v>23242.9</v>
      </c>
      <c r="C268">
        <v>23267.75</v>
      </c>
      <c r="D268">
        <v>23213.45</v>
      </c>
      <c r="E268">
        <v>23220.1</v>
      </c>
      <c r="F268" s="2">
        <f t="shared" si="13"/>
        <v>54.299999999999272</v>
      </c>
      <c r="G268" s="3">
        <f t="shared" si="11"/>
        <v>46.037758544342125</v>
      </c>
      <c r="H268" t="str">
        <f t="shared" si="12"/>
        <v>2026-06</v>
      </c>
      <c r="I268">
        <v>3</v>
      </c>
    </row>
    <row r="269" spans="1:9" x14ac:dyDescent="0.25">
      <c r="A269" t="s">
        <v>274</v>
      </c>
      <c r="B269">
        <v>23223.9</v>
      </c>
      <c r="C269">
        <v>23248.05</v>
      </c>
      <c r="D269">
        <v>23214.55</v>
      </c>
      <c r="E269">
        <v>23231.3</v>
      </c>
      <c r="F269" s="2">
        <f t="shared" si="13"/>
        <v>33.5</v>
      </c>
      <c r="G269" s="3">
        <f t="shared" si="11"/>
        <v>45.142204362603401</v>
      </c>
      <c r="H269" t="str">
        <f t="shared" si="12"/>
        <v>2026-06</v>
      </c>
      <c r="I269">
        <v>3</v>
      </c>
    </row>
    <row r="270" spans="1:9" x14ac:dyDescent="0.25">
      <c r="A270" t="s">
        <v>275</v>
      </c>
      <c r="B270">
        <v>23233</v>
      </c>
      <c r="C270">
        <v>23240.2</v>
      </c>
      <c r="D270">
        <v>23201.599999999999</v>
      </c>
      <c r="E270">
        <v>23218.75</v>
      </c>
      <c r="F270" s="2">
        <f t="shared" si="13"/>
        <v>38.600000000002183</v>
      </c>
      <c r="G270" s="3">
        <f t="shared" si="11"/>
        <v>44.674904050989028</v>
      </c>
      <c r="H270" t="str">
        <f t="shared" si="12"/>
        <v>2026-06</v>
      </c>
      <c r="I270">
        <v>3</v>
      </c>
    </row>
    <row r="271" spans="1:9" x14ac:dyDescent="0.25">
      <c r="A271" t="s">
        <v>276</v>
      </c>
      <c r="B271">
        <v>23219.8</v>
      </c>
      <c r="C271">
        <v>23252.05</v>
      </c>
      <c r="D271">
        <v>23204.1</v>
      </c>
      <c r="E271">
        <v>23240.05</v>
      </c>
      <c r="F271" s="2">
        <f t="shared" si="13"/>
        <v>47.950000000000728</v>
      </c>
      <c r="G271" s="3">
        <f t="shared" si="11"/>
        <v>44.908839475918434</v>
      </c>
      <c r="H271" t="str">
        <f t="shared" si="12"/>
        <v>2026-06</v>
      </c>
      <c r="I271">
        <v>3</v>
      </c>
    </row>
    <row r="272" spans="1:9" x14ac:dyDescent="0.25">
      <c r="A272" t="s">
        <v>277</v>
      </c>
      <c r="B272">
        <v>23241.15</v>
      </c>
      <c r="C272">
        <v>23245.45</v>
      </c>
      <c r="D272">
        <v>23193.55</v>
      </c>
      <c r="E272">
        <v>23198.15</v>
      </c>
      <c r="F272" s="2">
        <f t="shared" si="13"/>
        <v>51.900000000001455</v>
      </c>
      <c r="G272" s="3">
        <f t="shared" ref="G272:G335" si="14">(G271*13+F272)/14</f>
        <v>45.408208084781506</v>
      </c>
      <c r="H272" t="str">
        <f t="shared" si="12"/>
        <v>2026-06</v>
      </c>
      <c r="I272">
        <v>3</v>
      </c>
    </row>
    <row r="273" spans="1:9" x14ac:dyDescent="0.25">
      <c r="A273" t="s">
        <v>278</v>
      </c>
      <c r="B273">
        <v>23200.2</v>
      </c>
      <c r="C273">
        <v>23209.599999999999</v>
      </c>
      <c r="D273">
        <v>23162.5</v>
      </c>
      <c r="E273">
        <v>23175.5</v>
      </c>
      <c r="F273" s="2">
        <f t="shared" si="13"/>
        <v>47.099999999998545</v>
      </c>
      <c r="G273" s="3">
        <f t="shared" si="14"/>
        <v>45.529050364439868</v>
      </c>
      <c r="H273" t="str">
        <f t="shared" si="12"/>
        <v>2026-06</v>
      </c>
      <c r="I273">
        <v>3</v>
      </c>
    </row>
    <row r="274" spans="1:9" x14ac:dyDescent="0.25">
      <c r="A274" t="s">
        <v>279</v>
      </c>
      <c r="B274">
        <v>23177.05</v>
      </c>
      <c r="C274">
        <v>23192.45</v>
      </c>
      <c r="D274">
        <v>23131.95</v>
      </c>
      <c r="E274">
        <v>23165.8</v>
      </c>
      <c r="F274" s="2">
        <f t="shared" si="13"/>
        <v>60.5</v>
      </c>
      <c r="G274" s="3">
        <f t="shared" si="14"/>
        <v>46.598403909837025</v>
      </c>
      <c r="H274" t="str">
        <f t="shared" si="12"/>
        <v>2026-06</v>
      </c>
      <c r="I274">
        <v>3</v>
      </c>
    </row>
    <row r="275" spans="1:9" x14ac:dyDescent="0.25">
      <c r="A275" t="s">
        <v>280</v>
      </c>
      <c r="B275">
        <v>23165.3</v>
      </c>
      <c r="C275">
        <v>23194.9</v>
      </c>
      <c r="D275">
        <v>23156.400000000001</v>
      </c>
      <c r="E275">
        <v>23186.55</v>
      </c>
      <c r="F275" s="2">
        <f t="shared" si="13"/>
        <v>38.5</v>
      </c>
      <c r="G275" s="3">
        <f t="shared" si="14"/>
        <v>46.019946487705809</v>
      </c>
      <c r="H275" t="str">
        <f t="shared" si="12"/>
        <v>2026-06</v>
      </c>
      <c r="I275">
        <v>3</v>
      </c>
    </row>
    <row r="276" spans="1:9" x14ac:dyDescent="0.25">
      <c r="A276" t="s">
        <v>281</v>
      </c>
      <c r="B276">
        <v>23420.7</v>
      </c>
      <c r="C276">
        <v>23455.95</v>
      </c>
      <c r="D276">
        <v>23400.55</v>
      </c>
      <c r="E276">
        <v>23401.200000000001</v>
      </c>
      <c r="F276" s="2">
        <f t="shared" si="13"/>
        <v>269.40000000000146</v>
      </c>
      <c r="G276" s="3">
        <f t="shared" si="14"/>
        <v>61.975664595726926</v>
      </c>
      <c r="H276" t="str">
        <f t="shared" si="12"/>
        <v>2026-06</v>
      </c>
      <c r="I276">
        <v>3</v>
      </c>
    </row>
    <row r="277" spans="1:9" x14ac:dyDescent="0.25">
      <c r="A277" t="s">
        <v>282</v>
      </c>
      <c r="B277">
        <v>23402.85</v>
      </c>
      <c r="C277">
        <v>23410.65</v>
      </c>
      <c r="D277">
        <v>23364.25</v>
      </c>
      <c r="E277">
        <v>23370.1</v>
      </c>
      <c r="F277" s="2">
        <f t="shared" si="13"/>
        <v>46.400000000001455</v>
      </c>
      <c r="G277" s="3">
        <f t="shared" si="14"/>
        <v>60.863117124603676</v>
      </c>
      <c r="H277" t="str">
        <f t="shared" si="12"/>
        <v>2026-06</v>
      </c>
      <c r="I277">
        <v>3</v>
      </c>
    </row>
    <row r="278" spans="1:9" x14ac:dyDescent="0.25">
      <c r="A278" t="s">
        <v>283</v>
      </c>
      <c r="B278">
        <v>23370.6</v>
      </c>
      <c r="C278">
        <v>23380.75</v>
      </c>
      <c r="D278">
        <v>23345.95</v>
      </c>
      <c r="E278">
        <v>23346.55</v>
      </c>
      <c r="F278" s="2">
        <f t="shared" si="13"/>
        <v>34.799999999999272</v>
      </c>
      <c r="G278" s="3">
        <f t="shared" si="14"/>
        <v>59.001465901417646</v>
      </c>
      <c r="H278" t="str">
        <f t="shared" si="12"/>
        <v>2026-06</v>
      </c>
      <c r="I278">
        <v>3</v>
      </c>
    </row>
    <row r="279" spans="1:9" x14ac:dyDescent="0.25">
      <c r="A279" t="s">
        <v>284</v>
      </c>
      <c r="B279">
        <v>23348.7</v>
      </c>
      <c r="C279">
        <v>23359.15</v>
      </c>
      <c r="D279">
        <v>23327.65</v>
      </c>
      <c r="E279">
        <v>23342.65</v>
      </c>
      <c r="F279" s="2">
        <f t="shared" si="13"/>
        <v>31.5</v>
      </c>
      <c r="G279" s="3">
        <f t="shared" si="14"/>
        <v>57.037075479887811</v>
      </c>
      <c r="H279" t="str">
        <f t="shared" si="12"/>
        <v>2026-06</v>
      </c>
      <c r="I279">
        <v>3</v>
      </c>
    </row>
    <row r="280" spans="1:9" x14ac:dyDescent="0.25">
      <c r="A280" t="s">
        <v>285</v>
      </c>
      <c r="B280">
        <v>23345.15</v>
      </c>
      <c r="C280">
        <v>23362.9</v>
      </c>
      <c r="D280">
        <v>23322.65</v>
      </c>
      <c r="E280">
        <v>23345.85</v>
      </c>
      <c r="F280" s="2">
        <f t="shared" si="13"/>
        <v>40.25</v>
      </c>
      <c r="G280" s="3">
        <f t="shared" si="14"/>
        <v>55.837998659895824</v>
      </c>
      <c r="H280" t="str">
        <f t="shared" si="12"/>
        <v>2026-06</v>
      </c>
      <c r="I280">
        <v>3</v>
      </c>
    </row>
    <row r="281" spans="1:9" x14ac:dyDescent="0.25">
      <c r="A281" t="s">
        <v>286</v>
      </c>
      <c r="B281">
        <v>23346.75</v>
      </c>
      <c r="C281">
        <v>23357.5</v>
      </c>
      <c r="D281">
        <v>23341.55</v>
      </c>
      <c r="E281">
        <v>23349.7</v>
      </c>
      <c r="F281" s="2">
        <f t="shared" si="13"/>
        <v>15.950000000000728</v>
      </c>
      <c r="G281" s="3">
        <f t="shared" si="14"/>
        <v>52.988855898474746</v>
      </c>
      <c r="H281" t="str">
        <f t="shared" si="12"/>
        <v>2026-06</v>
      </c>
      <c r="I281">
        <v>3</v>
      </c>
    </row>
    <row r="282" spans="1:9" x14ac:dyDescent="0.25">
      <c r="A282" t="s">
        <v>287</v>
      </c>
      <c r="B282">
        <v>23350.95</v>
      </c>
      <c r="C282">
        <v>23359.85</v>
      </c>
      <c r="D282">
        <v>23329.95</v>
      </c>
      <c r="E282">
        <v>23358.25</v>
      </c>
      <c r="F282" s="2">
        <f t="shared" si="13"/>
        <v>29.899999999997817</v>
      </c>
      <c r="G282" s="3">
        <f t="shared" si="14"/>
        <v>51.339651905726392</v>
      </c>
      <c r="H282" t="str">
        <f t="shared" si="12"/>
        <v>2026-06</v>
      </c>
      <c r="I282">
        <v>3</v>
      </c>
    </row>
    <row r="283" spans="1:9" x14ac:dyDescent="0.25">
      <c r="A283" t="s">
        <v>288</v>
      </c>
      <c r="B283">
        <v>23359.200000000001</v>
      </c>
      <c r="C283">
        <v>23378.35</v>
      </c>
      <c r="D283">
        <v>23344.45</v>
      </c>
      <c r="E283">
        <v>23378.05</v>
      </c>
      <c r="F283" s="2">
        <f t="shared" si="13"/>
        <v>33.899999999997817</v>
      </c>
      <c r="G283" s="3">
        <f t="shared" si="14"/>
        <v>50.093962483888632</v>
      </c>
      <c r="H283" t="str">
        <f t="shared" si="12"/>
        <v>2026-06</v>
      </c>
      <c r="I283">
        <v>3</v>
      </c>
    </row>
    <row r="284" spans="1:9" x14ac:dyDescent="0.25">
      <c r="A284" t="s">
        <v>289</v>
      </c>
      <c r="B284">
        <v>23379.1</v>
      </c>
      <c r="C284">
        <v>23380.65</v>
      </c>
      <c r="D284">
        <v>23349.7</v>
      </c>
      <c r="E284">
        <v>23357.4</v>
      </c>
      <c r="F284" s="2">
        <f t="shared" si="13"/>
        <v>30.950000000000728</v>
      </c>
      <c r="G284" s="3">
        <f t="shared" si="14"/>
        <v>48.726536592182356</v>
      </c>
      <c r="H284" t="str">
        <f t="shared" si="12"/>
        <v>2026-06</v>
      </c>
      <c r="I284">
        <v>3</v>
      </c>
    </row>
    <row r="285" spans="1:9" x14ac:dyDescent="0.25">
      <c r="A285" t="s">
        <v>290</v>
      </c>
      <c r="B285">
        <v>23358.9</v>
      </c>
      <c r="C285">
        <v>23377.9</v>
      </c>
      <c r="D285">
        <v>23357.5</v>
      </c>
      <c r="E285">
        <v>23374.799999999999</v>
      </c>
      <c r="F285" s="2">
        <f t="shared" si="13"/>
        <v>20.5</v>
      </c>
      <c r="G285" s="3">
        <f t="shared" si="14"/>
        <v>46.710355407026476</v>
      </c>
      <c r="H285" t="str">
        <f t="shared" si="12"/>
        <v>2026-06</v>
      </c>
      <c r="I285">
        <v>3</v>
      </c>
    </row>
    <row r="286" spans="1:9" x14ac:dyDescent="0.25">
      <c r="A286" t="s">
        <v>291</v>
      </c>
      <c r="B286">
        <v>23375.5</v>
      </c>
      <c r="C286">
        <v>23389.3</v>
      </c>
      <c r="D286">
        <v>23368.35</v>
      </c>
      <c r="E286">
        <v>23378.2</v>
      </c>
      <c r="F286" s="2">
        <f t="shared" si="13"/>
        <v>20.950000000000728</v>
      </c>
      <c r="G286" s="3">
        <f t="shared" si="14"/>
        <v>44.87033002081035</v>
      </c>
      <c r="H286" t="str">
        <f t="shared" si="12"/>
        <v>2026-06</v>
      </c>
      <c r="I286">
        <v>3</v>
      </c>
    </row>
    <row r="287" spans="1:9" x14ac:dyDescent="0.25">
      <c r="A287" t="s">
        <v>292</v>
      </c>
      <c r="B287">
        <v>23380.1</v>
      </c>
      <c r="C287">
        <v>23383.55</v>
      </c>
      <c r="D287">
        <v>23343.35</v>
      </c>
      <c r="E287">
        <v>23347.4</v>
      </c>
      <c r="F287" s="2">
        <f t="shared" si="13"/>
        <v>40.200000000000728</v>
      </c>
      <c r="G287" s="3">
        <f t="shared" si="14"/>
        <v>44.536735019323949</v>
      </c>
      <c r="H287" t="str">
        <f t="shared" si="12"/>
        <v>2026-06</v>
      </c>
      <c r="I287">
        <v>3</v>
      </c>
    </row>
    <row r="288" spans="1:9" x14ac:dyDescent="0.25">
      <c r="A288" t="s">
        <v>293</v>
      </c>
      <c r="B288">
        <v>23349.45</v>
      </c>
      <c r="C288">
        <v>23369.9</v>
      </c>
      <c r="D288">
        <v>23343.5</v>
      </c>
      <c r="E288">
        <v>23365.3</v>
      </c>
      <c r="F288" s="2">
        <f t="shared" si="13"/>
        <v>26.400000000001455</v>
      </c>
      <c r="G288" s="3">
        <f t="shared" si="14"/>
        <v>43.241253946515201</v>
      </c>
      <c r="H288" t="str">
        <f t="shared" si="12"/>
        <v>2026-06</v>
      </c>
      <c r="I288">
        <v>3</v>
      </c>
    </row>
    <row r="289" spans="1:9" x14ac:dyDescent="0.25">
      <c r="A289" t="s">
        <v>294</v>
      </c>
      <c r="B289">
        <v>23365.9</v>
      </c>
      <c r="C289">
        <v>23365.9</v>
      </c>
      <c r="D289">
        <v>23320.3</v>
      </c>
      <c r="E289">
        <v>23321.55</v>
      </c>
      <c r="F289" s="2">
        <f t="shared" si="13"/>
        <v>45.600000000002183</v>
      </c>
      <c r="G289" s="3">
        <f t="shared" si="14"/>
        <v>43.409735807478555</v>
      </c>
      <c r="H289" t="str">
        <f t="shared" si="12"/>
        <v>2026-06</v>
      </c>
      <c r="I289">
        <v>3</v>
      </c>
    </row>
    <row r="290" spans="1:9" x14ac:dyDescent="0.25">
      <c r="A290" t="s">
        <v>295</v>
      </c>
      <c r="B290">
        <v>23323</v>
      </c>
      <c r="C290">
        <v>23329.9</v>
      </c>
      <c r="D290">
        <v>23313.9</v>
      </c>
      <c r="E290">
        <v>23325.3</v>
      </c>
      <c r="F290" s="2">
        <f t="shared" si="13"/>
        <v>16</v>
      </c>
      <c r="G290" s="3">
        <f t="shared" si="14"/>
        <v>41.451897535515798</v>
      </c>
      <c r="H290" t="str">
        <f t="shared" si="12"/>
        <v>2026-06</v>
      </c>
      <c r="I290">
        <v>3</v>
      </c>
    </row>
    <row r="291" spans="1:9" x14ac:dyDescent="0.25">
      <c r="A291" t="s">
        <v>296</v>
      </c>
      <c r="B291">
        <v>23326.75</v>
      </c>
      <c r="C291">
        <v>23344.05</v>
      </c>
      <c r="D291">
        <v>23322.25</v>
      </c>
      <c r="E291">
        <v>23336.25</v>
      </c>
      <c r="F291" s="2">
        <f t="shared" si="13"/>
        <v>21.799999999999272</v>
      </c>
      <c r="G291" s="3">
        <f t="shared" si="14"/>
        <v>40.048190568693194</v>
      </c>
      <c r="H291" t="str">
        <f t="shared" si="12"/>
        <v>2026-06</v>
      </c>
      <c r="I291">
        <v>3</v>
      </c>
    </row>
    <row r="292" spans="1:9" x14ac:dyDescent="0.25">
      <c r="A292" t="s">
        <v>297</v>
      </c>
      <c r="B292">
        <v>23336.95</v>
      </c>
      <c r="C292">
        <v>23392.5</v>
      </c>
      <c r="D292">
        <v>23321.599999999999</v>
      </c>
      <c r="E292">
        <v>23388.95</v>
      </c>
      <c r="F292" s="2">
        <f t="shared" si="13"/>
        <v>70.900000000001455</v>
      </c>
      <c r="G292" s="3">
        <f t="shared" si="14"/>
        <v>42.25189124235807</v>
      </c>
      <c r="H292" t="str">
        <f t="shared" si="12"/>
        <v>2026-06</v>
      </c>
      <c r="I292">
        <v>3</v>
      </c>
    </row>
    <row r="293" spans="1:9" x14ac:dyDescent="0.25">
      <c r="A293" t="s">
        <v>298</v>
      </c>
      <c r="B293">
        <v>23390.400000000001</v>
      </c>
      <c r="C293">
        <v>23480.25</v>
      </c>
      <c r="D293">
        <v>23389.05</v>
      </c>
      <c r="E293">
        <v>23474.6</v>
      </c>
      <c r="F293" s="2">
        <f t="shared" si="13"/>
        <v>91.299999999999272</v>
      </c>
      <c r="G293" s="3">
        <f t="shared" si="14"/>
        <v>45.755327582189587</v>
      </c>
      <c r="H293" t="str">
        <f t="shared" si="12"/>
        <v>2026-06</v>
      </c>
      <c r="I293">
        <v>3</v>
      </c>
    </row>
    <row r="294" spans="1:9" x14ac:dyDescent="0.25">
      <c r="A294" t="s">
        <v>299</v>
      </c>
      <c r="B294">
        <v>23476.15</v>
      </c>
      <c r="C294">
        <v>23511.25</v>
      </c>
      <c r="D294">
        <v>23468.45</v>
      </c>
      <c r="E294">
        <v>23507.45</v>
      </c>
      <c r="F294" s="2">
        <f t="shared" si="13"/>
        <v>42.799999999999272</v>
      </c>
      <c r="G294" s="3">
        <f t="shared" si="14"/>
        <v>45.544232754890281</v>
      </c>
      <c r="H294" t="str">
        <f t="shared" si="12"/>
        <v>2026-06</v>
      </c>
      <c r="I294">
        <v>3</v>
      </c>
    </row>
    <row r="295" spans="1:9" x14ac:dyDescent="0.25">
      <c r="A295" t="s">
        <v>300</v>
      </c>
      <c r="B295">
        <v>23509.7</v>
      </c>
      <c r="C295">
        <v>23531.599999999999</v>
      </c>
      <c r="D295">
        <v>23496.55</v>
      </c>
      <c r="E295">
        <v>23527.5</v>
      </c>
      <c r="F295" s="2">
        <f t="shared" si="13"/>
        <v>35.049999999999272</v>
      </c>
      <c r="G295" s="3">
        <f t="shared" si="14"/>
        <v>44.794644700969499</v>
      </c>
      <c r="H295" t="str">
        <f t="shared" si="12"/>
        <v>2026-06</v>
      </c>
      <c r="I295">
        <v>3</v>
      </c>
    </row>
    <row r="296" spans="1:9" x14ac:dyDescent="0.25">
      <c r="A296" t="s">
        <v>301</v>
      </c>
      <c r="B296">
        <v>23528.2</v>
      </c>
      <c r="C296">
        <v>23550.3</v>
      </c>
      <c r="D296">
        <v>23524.6</v>
      </c>
      <c r="E296">
        <v>23547.8</v>
      </c>
      <c r="F296" s="2">
        <f t="shared" si="13"/>
        <v>25.700000000000728</v>
      </c>
      <c r="G296" s="3">
        <f t="shared" si="14"/>
        <v>43.430741508043162</v>
      </c>
      <c r="H296" t="str">
        <f t="shared" si="12"/>
        <v>2026-06</v>
      </c>
      <c r="I296">
        <v>3</v>
      </c>
    </row>
    <row r="297" spans="1:9" x14ac:dyDescent="0.25">
      <c r="A297" t="s">
        <v>302</v>
      </c>
      <c r="B297">
        <v>23549.3</v>
      </c>
      <c r="C297">
        <v>23577.3</v>
      </c>
      <c r="D297">
        <v>23532.9</v>
      </c>
      <c r="E297">
        <v>23569.75</v>
      </c>
      <c r="F297" s="2">
        <f t="shared" si="13"/>
        <v>44.399999999997817</v>
      </c>
      <c r="G297" s="3">
        <f t="shared" si="14"/>
        <v>43.499974257468502</v>
      </c>
      <c r="H297" t="str">
        <f t="shared" si="12"/>
        <v>2026-06</v>
      </c>
      <c r="I297">
        <v>3</v>
      </c>
    </row>
    <row r="298" spans="1:9" x14ac:dyDescent="0.25">
      <c r="A298" t="s">
        <v>303</v>
      </c>
      <c r="B298">
        <v>23571.85</v>
      </c>
      <c r="C298">
        <v>23616.95</v>
      </c>
      <c r="D298">
        <v>23568.35</v>
      </c>
      <c r="E298">
        <v>23608.15</v>
      </c>
      <c r="F298" s="2">
        <f t="shared" si="13"/>
        <v>48.600000000002183</v>
      </c>
      <c r="G298" s="3">
        <f t="shared" si="14"/>
        <v>43.864261810506619</v>
      </c>
      <c r="H298" t="str">
        <f t="shared" si="12"/>
        <v>2026-06</v>
      </c>
      <c r="I298">
        <v>3</v>
      </c>
    </row>
    <row r="299" spans="1:9" x14ac:dyDescent="0.25">
      <c r="A299" t="s">
        <v>304</v>
      </c>
      <c r="B299">
        <v>23607.95</v>
      </c>
      <c r="C299">
        <v>23645.35</v>
      </c>
      <c r="D299">
        <v>23581.65</v>
      </c>
      <c r="E299">
        <v>23621.8</v>
      </c>
      <c r="F299" s="2">
        <f t="shared" si="13"/>
        <v>63.69999999999709</v>
      </c>
      <c r="G299" s="3">
        <f t="shared" si="14"/>
        <v>45.281100252613086</v>
      </c>
      <c r="H299" t="str">
        <f t="shared" si="12"/>
        <v>2026-06</v>
      </c>
      <c r="I299">
        <v>3</v>
      </c>
    </row>
    <row r="300" spans="1:9" x14ac:dyDescent="0.25">
      <c r="A300" t="s">
        <v>305</v>
      </c>
      <c r="B300">
        <v>23620.95</v>
      </c>
      <c r="C300">
        <v>23639.35</v>
      </c>
      <c r="D300">
        <v>23612.15</v>
      </c>
      <c r="E300">
        <v>23631.75</v>
      </c>
      <c r="F300" s="2">
        <f t="shared" si="13"/>
        <v>27.19999999999709</v>
      </c>
      <c r="G300" s="3">
        <f t="shared" si="14"/>
        <v>43.989593091711939</v>
      </c>
      <c r="H300" t="str">
        <f t="shared" si="12"/>
        <v>2026-06</v>
      </c>
      <c r="I300">
        <v>3</v>
      </c>
    </row>
    <row r="301" spans="1:9" x14ac:dyDescent="0.25">
      <c r="A301" t="s">
        <v>306</v>
      </c>
      <c r="B301">
        <v>23990.5</v>
      </c>
      <c r="C301">
        <v>24011.4</v>
      </c>
      <c r="D301">
        <v>23934.1</v>
      </c>
      <c r="E301">
        <v>23944.7</v>
      </c>
      <c r="F301" s="2">
        <f t="shared" si="13"/>
        <v>379.65000000000146</v>
      </c>
      <c r="G301" s="3">
        <f t="shared" si="14"/>
        <v>67.96533644230405</v>
      </c>
      <c r="H301" t="str">
        <f t="shared" si="12"/>
        <v>2026-06</v>
      </c>
      <c r="I301">
        <v>3</v>
      </c>
    </row>
    <row r="302" spans="1:9" x14ac:dyDescent="0.25">
      <c r="A302" t="s">
        <v>307</v>
      </c>
      <c r="B302">
        <v>23946.15</v>
      </c>
      <c r="C302">
        <v>23965.9</v>
      </c>
      <c r="D302">
        <v>23927.35</v>
      </c>
      <c r="E302">
        <v>23964.85</v>
      </c>
      <c r="F302" s="2">
        <f t="shared" si="13"/>
        <v>38.55000000000291</v>
      </c>
      <c r="G302" s="3">
        <f t="shared" si="14"/>
        <v>65.864240982139691</v>
      </c>
      <c r="H302" t="str">
        <f t="shared" si="12"/>
        <v>2026-06</v>
      </c>
      <c r="I302">
        <v>3</v>
      </c>
    </row>
    <row r="303" spans="1:9" x14ac:dyDescent="0.25">
      <c r="A303" t="s">
        <v>308</v>
      </c>
      <c r="B303">
        <v>23965.7</v>
      </c>
      <c r="C303">
        <v>23980.45</v>
      </c>
      <c r="D303">
        <v>23939.75</v>
      </c>
      <c r="E303">
        <v>23946.45</v>
      </c>
      <c r="F303" s="2">
        <f t="shared" si="13"/>
        <v>40.700000000000728</v>
      </c>
      <c r="G303" s="3">
        <f t="shared" si="14"/>
        <v>64.066795197701197</v>
      </c>
      <c r="H303" t="str">
        <f t="shared" si="12"/>
        <v>2026-06</v>
      </c>
      <c r="I303">
        <v>3</v>
      </c>
    </row>
    <row r="304" spans="1:9" x14ac:dyDescent="0.25">
      <c r="A304" t="s">
        <v>309</v>
      </c>
      <c r="B304">
        <v>23945.95</v>
      </c>
      <c r="C304">
        <v>23968.2</v>
      </c>
      <c r="D304">
        <v>23933.55</v>
      </c>
      <c r="E304">
        <v>23945.5</v>
      </c>
      <c r="F304" s="2">
        <f t="shared" si="13"/>
        <v>34.650000000001455</v>
      </c>
      <c r="G304" s="3">
        <f t="shared" si="14"/>
        <v>61.965595540722639</v>
      </c>
      <c r="H304" t="str">
        <f t="shared" si="12"/>
        <v>2026-06</v>
      </c>
      <c r="I304">
        <v>3</v>
      </c>
    </row>
    <row r="305" spans="1:9" x14ac:dyDescent="0.25">
      <c r="A305" t="s">
        <v>310</v>
      </c>
      <c r="B305">
        <v>23945.05</v>
      </c>
      <c r="C305">
        <v>23968.65</v>
      </c>
      <c r="D305">
        <v>23935.599999999999</v>
      </c>
      <c r="E305">
        <v>23962.65</v>
      </c>
      <c r="F305" s="2">
        <f t="shared" si="13"/>
        <v>33.05000000000291</v>
      </c>
      <c r="G305" s="3">
        <f t="shared" si="14"/>
        <v>59.900195859242658</v>
      </c>
      <c r="H305" t="str">
        <f t="shared" si="12"/>
        <v>2026-06</v>
      </c>
      <c r="I305">
        <v>3</v>
      </c>
    </row>
    <row r="306" spans="1:9" x14ac:dyDescent="0.25">
      <c r="A306" t="s">
        <v>311</v>
      </c>
      <c r="B306">
        <v>23962.55</v>
      </c>
      <c r="C306">
        <v>23982.15</v>
      </c>
      <c r="D306">
        <v>23961.95</v>
      </c>
      <c r="E306">
        <v>23978.45</v>
      </c>
      <c r="F306" s="2">
        <f t="shared" si="13"/>
        <v>20.200000000000728</v>
      </c>
      <c r="G306" s="3">
        <f t="shared" si="14"/>
        <v>57.06446758358252</v>
      </c>
      <c r="H306" t="str">
        <f t="shared" si="12"/>
        <v>2026-06</v>
      </c>
      <c r="I306">
        <v>3</v>
      </c>
    </row>
    <row r="307" spans="1:9" x14ac:dyDescent="0.25">
      <c r="A307" t="s">
        <v>312</v>
      </c>
      <c r="B307">
        <v>23979.65</v>
      </c>
      <c r="C307">
        <v>24009.1</v>
      </c>
      <c r="D307">
        <v>23974.75</v>
      </c>
      <c r="E307">
        <v>24001.200000000001</v>
      </c>
      <c r="F307" s="2">
        <f t="shared" si="13"/>
        <v>34.349999999998545</v>
      </c>
      <c r="G307" s="3">
        <f t="shared" si="14"/>
        <v>55.442005613326522</v>
      </c>
      <c r="H307" t="str">
        <f t="shared" si="12"/>
        <v>2026-06</v>
      </c>
      <c r="I307">
        <v>3</v>
      </c>
    </row>
    <row r="308" spans="1:9" x14ac:dyDescent="0.25">
      <c r="A308" t="s">
        <v>313</v>
      </c>
      <c r="B308">
        <v>24002.1</v>
      </c>
      <c r="C308">
        <v>24003.599999999999</v>
      </c>
      <c r="D308">
        <v>23966.3</v>
      </c>
      <c r="E308">
        <v>23967.65</v>
      </c>
      <c r="F308" s="2">
        <f t="shared" si="13"/>
        <v>37.299999999999272</v>
      </c>
      <c r="G308" s="3">
        <f t="shared" si="14"/>
        <v>54.14614806951743</v>
      </c>
      <c r="H308" t="str">
        <f t="shared" si="12"/>
        <v>2026-06</v>
      </c>
      <c r="I308">
        <v>3</v>
      </c>
    </row>
    <row r="309" spans="1:9" x14ac:dyDescent="0.25">
      <c r="A309" t="s">
        <v>314</v>
      </c>
      <c r="B309">
        <v>23967.85</v>
      </c>
      <c r="C309">
        <v>23982.95</v>
      </c>
      <c r="D309">
        <v>23962.2</v>
      </c>
      <c r="E309">
        <v>23977.7</v>
      </c>
      <c r="F309" s="2">
        <f t="shared" si="13"/>
        <v>20.75</v>
      </c>
      <c r="G309" s="3">
        <f t="shared" si="14"/>
        <v>51.760708921694757</v>
      </c>
      <c r="H309" t="str">
        <f t="shared" si="12"/>
        <v>2026-06</v>
      </c>
      <c r="I309">
        <v>3</v>
      </c>
    </row>
    <row r="310" spans="1:9" x14ac:dyDescent="0.25">
      <c r="A310" t="s">
        <v>315</v>
      </c>
      <c r="B310">
        <v>23978.45</v>
      </c>
      <c r="C310">
        <v>23979.8</v>
      </c>
      <c r="D310">
        <v>23957.25</v>
      </c>
      <c r="E310">
        <v>23957.8</v>
      </c>
      <c r="F310" s="2">
        <f t="shared" si="13"/>
        <v>22.549999999999272</v>
      </c>
      <c r="G310" s="3">
        <f t="shared" si="14"/>
        <v>49.674229713002219</v>
      </c>
      <c r="H310" t="str">
        <f t="shared" si="12"/>
        <v>2026-06</v>
      </c>
      <c r="I310">
        <v>3</v>
      </c>
    </row>
    <row r="311" spans="1:9" x14ac:dyDescent="0.25">
      <c r="A311" t="s">
        <v>316</v>
      </c>
      <c r="B311">
        <v>23957.25</v>
      </c>
      <c r="C311">
        <v>23970.55</v>
      </c>
      <c r="D311">
        <v>23950</v>
      </c>
      <c r="E311">
        <v>23961.55</v>
      </c>
      <c r="F311" s="2">
        <f t="shared" si="13"/>
        <v>20.549999999999272</v>
      </c>
      <c r="G311" s="3">
        <f t="shared" si="14"/>
        <v>47.593927590644867</v>
      </c>
      <c r="H311" t="str">
        <f t="shared" si="12"/>
        <v>2026-06</v>
      </c>
      <c r="I311">
        <v>3</v>
      </c>
    </row>
    <row r="312" spans="1:9" x14ac:dyDescent="0.25">
      <c r="A312" t="s">
        <v>317</v>
      </c>
      <c r="B312">
        <v>23961.35</v>
      </c>
      <c r="C312">
        <v>23965.75</v>
      </c>
      <c r="D312">
        <v>23930.05</v>
      </c>
      <c r="E312">
        <v>23931.3</v>
      </c>
      <c r="F312" s="2">
        <f t="shared" si="13"/>
        <v>35.700000000000728</v>
      </c>
      <c r="G312" s="3">
        <f t="shared" si="14"/>
        <v>46.744361334170286</v>
      </c>
      <c r="H312" t="str">
        <f t="shared" si="12"/>
        <v>2026-06</v>
      </c>
      <c r="I312">
        <v>3</v>
      </c>
    </row>
    <row r="313" spans="1:9" x14ac:dyDescent="0.25">
      <c r="A313" t="s">
        <v>318</v>
      </c>
      <c r="B313">
        <v>23931.8</v>
      </c>
      <c r="C313">
        <v>23932.95</v>
      </c>
      <c r="D313">
        <v>23893.8</v>
      </c>
      <c r="E313">
        <v>23894.55</v>
      </c>
      <c r="F313" s="2">
        <f t="shared" si="13"/>
        <v>39.150000000001455</v>
      </c>
      <c r="G313" s="3">
        <f t="shared" si="14"/>
        <v>46.201906953158229</v>
      </c>
      <c r="H313" t="str">
        <f t="shared" si="12"/>
        <v>2026-06</v>
      </c>
      <c r="I313">
        <v>3</v>
      </c>
    </row>
    <row r="314" spans="1:9" x14ac:dyDescent="0.25">
      <c r="A314" t="s">
        <v>319</v>
      </c>
      <c r="B314">
        <v>23894.75</v>
      </c>
      <c r="C314">
        <v>23917.8</v>
      </c>
      <c r="D314">
        <v>23892.35</v>
      </c>
      <c r="E314">
        <v>23912.05</v>
      </c>
      <c r="F314" s="2">
        <f t="shared" si="13"/>
        <v>25.450000000000728</v>
      </c>
      <c r="G314" s="3">
        <f t="shared" si="14"/>
        <v>44.719627885075553</v>
      </c>
      <c r="H314" t="str">
        <f t="shared" si="12"/>
        <v>2026-06</v>
      </c>
      <c r="I314">
        <v>3</v>
      </c>
    </row>
    <row r="315" spans="1:9" x14ac:dyDescent="0.25">
      <c r="A315" t="s">
        <v>320</v>
      </c>
      <c r="B315">
        <v>23912.85</v>
      </c>
      <c r="C315">
        <v>23913.95</v>
      </c>
      <c r="D315">
        <v>23896.65</v>
      </c>
      <c r="E315">
        <v>23906.65</v>
      </c>
      <c r="F315" s="2">
        <f t="shared" si="13"/>
        <v>17.299999999999272</v>
      </c>
      <c r="G315" s="3">
        <f t="shared" si="14"/>
        <v>42.761083036141535</v>
      </c>
      <c r="H315" t="str">
        <f t="shared" si="12"/>
        <v>2026-06</v>
      </c>
      <c r="I315">
        <v>3</v>
      </c>
    </row>
    <row r="316" spans="1:9" x14ac:dyDescent="0.25">
      <c r="A316" t="s">
        <v>321</v>
      </c>
      <c r="B316">
        <v>23906.95</v>
      </c>
      <c r="C316">
        <v>23935</v>
      </c>
      <c r="D316">
        <v>23892.799999999999</v>
      </c>
      <c r="E316">
        <v>23916</v>
      </c>
      <c r="F316" s="2">
        <f t="shared" si="13"/>
        <v>42.200000000000728</v>
      </c>
      <c r="G316" s="3">
        <f t="shared" si="14"/>
        <v>42.721005676417192</v>
      </c>
      <c r="H316" t="str">
        <f t="shared" si="12"/>
        <v>2026-06</v>
      </c>
      <c r="I316">
        <v>3</v>
      </c>
    </row>
    <row r="317" spans="1:9" x14ac:dyDescent="0.25">
      <c r="A317" t="s">
        <v>322</v>
      </c>
      <c r="B317">
        <v>23916.1</v>
      </c>
      <c r="C317">
        <v>23917.9</v>
      </c>
      <c r="D317">
        <v>23897.200000000001</v>
      </c>
      <c r="E317">
        <v>23906.45</v>
      </c>
      <c r="F317" s="2">
        <f t="shared" si="13"/>
        <v>20.700000000000728</v>
      </c>
      <c r="G317" s="3">
        <f t="shared" si="14"/>
        <v>41.1480766995303</v>
      </c>
      <c r="H317" t="str">
        <f t="shared" si="12"/>
        <v>2026-06</v>
      </c>
      <c r="I317">
        <v>3</v>
      </c>
    </row>
    <row r="318" spans="1:9" x14ac:dyDescent="0.25">
      <c r="A318" t="s">
        <v>323</v>
      </c>
      <c r="B318">
        <v>23906.65</v>
      </c>
      <c r="C318">
        <v>23913.1</v>
      </c>
      <c r="D318">
        <v>23883.8</v>
      </c>
      <c r="E318">
        <v>23893.55</v>
      </c>
      <c r="F318" s="2">
        <f t="shared" si="13"/>
        <v>29.299999999999272</v>
      </c>
      <c r="G318" s="3">
        <f t="shared" si="14"/>
        <v>40.301785506706658</v>
      </c>
      <c r="H318" t="str">
        <f t="shared" si="12"/>
        <v>2026-06</v>
      </c>
      <c r="I318">
        <v>3</v>
      </c>
    </row>
    <row r="319" spans="1:9" x14ac:dyDescent="0.25">
      <c r="A319" t="s">
        <v>324</v>
      </c>
      <c r="B319">
        <v>23893.95</v>
      </c>
      <c r="C319">
        <v>23910.7</v>
      </c>
      <c r="D319">
        <v>23865.85</v>
      </c>
      <c r="E319">
        <v>23906.55</v>
      </c>
      <c r="F319" s="2">
        <f t="shared" si="13"/>
        <v>44.850000000002183</v>
      </c>
      <c r="G319" s="3">
        <f t="shared" si="14"/>
        <v>40.626657970513477</v>
      </c>
      <c r="H319" t="str">
        <f t="shared" si="12"/>
        <v>2026-06</v>
      </c>
      <c r="I319">
        <v>3</v>
      </c>
    </row>
    <row r="320" spans="1:9" x14ac:dyDescent="0.25">
      <c r="A320" t="s">
        <v>325</v>
      </c>
      <c r="B320">
        <v>23905.65</v>
      </c>
      <c r="C320">
        <v>23913.9</v>
      </c>
      <c r="D320">
        <v>23882.6</v>
      </c>
      <c r="E320">
        <v>23889.9</v>
      </c>
      <c r="F320" s="2">
        <f t="shared" si="13"/>
        <v>31.30000000000291</v>
      </c>
      <c r="G320" s="3">
        <f t="shared" si="14"/>
        <v>39.960468115477006</v>
      </c>
      <c r="H320" t="str">
        <f t="shared" si="12"/>
        <v>2026-06</v>
      </c>
      <c r="I320">
        <v>3</v>
      </c>
    </row>
    <row r="321" spans="1:9" x14ac:dyDescent="0.25">
      <c r="A321" t="s">
        <v>326</v>
      </c>
      <c r="B321">
        <v>23889.3</v>
      </c>
      <c r="C321">
        <v>23916.75</v>
      </c>
      <c r="D321">
        <v>23887.4</v>
      </c>
      <c r="E321">
        <v>23907.45</v>
      </c>
      <c r="F321" s="2">
        <f t="shared" si="13"/>
        <v>29.349999999998545</v>
      </c>
      <c r="G321" s="3">
        <f t="shared" si="14"/>
        <v>39.202577535799968</v>
      </c>
      <c r="H321" t="str">
        <f t="shared" si="12"/>
        <v>2026-06</v>
      </c>
      <c r="I321">
        <v>3</v>
      </c>
    </row>
    <row r="322" spans="1:9" x14ac:dyDescent="0.25">
      <c r="A322" t="s">
        <v>327</v>
      </c>
      <c r="B322">
        <v>23906.799999999999</v>
      </c>
      <c r="C322">
        <v>23942.6</v>
      </c>
      <c r="D322">
        <v>23906.799999999999</v>
      </c>
      <c r="E322">
        <v>23923.599999999999</v>
      </c>
      <c r="F322" s="2">
        <f t="shared" si="13"/>
        <v>35.799999999999272</v>
      </c>
      <c r="G322" s="3">
        <f t="shared" si="14"/>
        <v>38.95953628324277</v>
      </c>
      <c r="H322" t="str">
        <f t="shared" ref="H322:H385" si="15">LEFT(A322,7)</f>
        <v>2026-06</v>
      </c>
      <c r="I322">
        <v>3</v>
      </c>
    </row>
    <row r="323" spans="1:9" x14ac:dyDescent="0.25">
      <c r="A323" t="s">
        <v>328</v>
      </c>
      <c r="B323">
        <v>23924.2</v>
      </c>
      <c r="C323">
        <v>23931.55</v>
      </c>
      <c r="D323">
        <v>23888.1</v>
      </c>
      <c r="E323">
        <v>23895.25</v>
      </c>
      <c r="F323" s="2">
        <f t="shared" ref="F323:F386" si="16">MAX(C323-D323,ABS(C323-E322),ABS(D323-E322))</f>
        <v>43.450000000000728</v>
      </c>
      <c r="G323" s="3">
        <f t="shared" si="14"/>
        <v>39.280283691582618</v>
      </c>
      <c r="H323" t="str">
        <f t="shared" si="15"/>
        <v>2026-06</v>
      </c>
      <c r="I323">
        <v>3</v>
      </c>
    </row>
    <row r="324" spans="1:9" x14ac:dyDescent="0.25">
      <c r="A324" t="s">
        <v>329</v>
      </c>
      <c r="B324">
        <v>23894.6</v>
      </c>
      <c r="C324">
        <v>23904.05</v>
      </c>
      <c r="D324">
        <v>23817.8</v>
      </c>
      <c r="E324">
        <v>23844.400000000001</v>
      </c>
      <c r="F324" s="2">
        <f t="shared" si="16"/>
        <v>86.25</v>
      </c>
      <c r="G324" s="3">
        <f t="shared" si="14"/>
        <v>42.635263427898153</v>
      </c>
      <c r="H324" t="str">
        <f t="shared" si="15"/>
        <v>2026-06</v>
      </c>
      <c r="I324">
        <v>3</v>
      </c>
    </row>
    <row r="325" spans="1:9" x14ac:dyDescent="0.25">
      <c r="A325" t="s">
        <v>330</v>
      </c>
      <c r="B325">
        <v>23843.599999999999</v>
      </c>
      <c r="C325">
        <v>23867.85</v>
      </c>
      <c r="D325">
        <v>23842.85</v>
      </c>
      <c r="E325">
        <v>23855.9</v>
      </c>
      <c r="F325" s="2">
        <f t="shared" si="16"/>
        <v>25</v>
      </c>
      <c r="G325" s="3">
        <f t="shared" si="14"/>
        <v>41.375601754476854</v>
      </c>
      <c r="H325" t="str">
        <f t="shared" si="15"/>
        <v>2026-06</v>
      </c>
      <c r="I325">
        <v>3</v>
      </c>
    </row>
    <row r="326" spans="1:9" x14ac:dyDescent="0.25">
      <c r="A326" t="s">
        <v>331</v>
      </c>
      <c r="B326">
        <v>23927</v>
      </c>
      <c r="C326">
        <v>23941.1</v>
      </c>
      <c r="D326">
        <v>23888.2</v>
      </c>
      <c r="E326">
        <v>23938</v>
      </c>
      <c r="F326" s="2">
        <f t="shared" si="16"/>
        <v>85.19999999999709</v>
      </c>
      <c r="G326" s="3">
        <f t="shared" si="14"/>
        <v>44.505915914871153</v>
      </c>
      <c r="H326" t="str">
        <f t="shared" si="15"/>
        <v>2026-06</v>
      </c>
      <c r="I326">
        <v>3</v>
      </c>
    </row>
    <row r="327" spans="1:9" x14ac:dyDescent="0.25">
      <c r="A327" t="s">
        <v>332</v>
      </c>
      <c r="B327">
        <v>23938.1</v>
      </c>
      <c r="C327">
        <v>23954.75</v>
      </c>
      <c r="D327">
        <v>23917.05</v>
      </c>
      <c r="E327">
        <v>23917.85</v>
      </c>
      <c r="F327" s="2">
        <f t="shared" si="16"/>
        <v>37.700000000000728</v>
      </c>
      <c r="G327" s="3">
        <f t="shared" si="14"/>
        <v>44.019779063808983</v>
      </c>
      <c r="H327" t="str">
        <f t="shared" si="15"/>
        <v>2026-06</v>
      </c>
      <c r="I327">
        <v>3</v>
      </c>
    </row>
    <row r="328" spans="1:9" x14ac:dyDescent="0.25">
      <c r="A328" t="s">
        <v>333</v>
      </c>
      <c r="B328">
        <v>23917.8</v>
      </c>
      <c r="C328">
        <v>23942.7</v>
      </c>
      <c r="D328">
        <v>23916.2</v>
      </c>
      <c r="E328">
        <v>23940.6</v>
      </c>
      <c r="F328" s="2">
        <f t="shared" si="16"/>
        <v>26.5</v>
      </c>
      <c r="G328" s="3">
        <f t="shared" si="14"/>
        <v>42.768366273536913</v>
      </c>
      <c r="H328" t="str">
        <f t="shared" si="15"/>
        <v>2026-06</v>
      </c>
      <c r="I328">
        <v>3</v>
      </c>
    </row>
    <row r="329" spans="1:9" x14ac:dyDescent="0.25">
      <c r="A329" t="s">
        <v>334</v>
      </c>
      <c r="B329">
        <v>23939.7</v>
      </c>
      <c r="C329">
        <v>23947.35</v>
      </c>
      <c r="D329">
        <v>23895.65</v>
      </c>
      <c r="E329">
        <v>23910.15</v>
      </c>
      <c r="F329" s="2">
        <f t="shared" si="16"/>
        <v>51.69999999999709</v>
      </c>
      <c r="G329" s="3">
        <f t="shared" si="14"/>
        <v>43.406340111141212</v>
      </c>
      <c r="H329" t="str">
        <f t="shared" si="15"/>
        <v>2026-06</v>
      </c>
      <c r="I329">
        <v>3</v>
      </c>
    </row>
    <row r="330" spans="1:9" x14ac:dyDescent="0.25">
      <c r="A330" t="s">
        <v>335</v>
      </c>
      <c r="B330">
        <v>23910.05</v>
      </c>
      <c r="C330">
        <v>23953.85</v>
      </c>
      <c r="D330">
        <v>23909.65</v>
      </c>
      <c r="E330">
        <v>23943.45</v>
      </c>
      <c r="F330" s="2">
        <f t="shared" si="16"/>
        <v>44.19999999999709</v>
      </c>
      <c r="G330" s="3">
        <f t="shared" si="14"/>
        <v>43.46303010320235</v>
      </c>
      <c r="H330" t="str">
        <f t="shared" si="15"/>
        <v>2026-06</v>
      </c>
      <c r="I330">
        <v>3</v>
      </c>
    </row>
    <row r="331" spans="1:9" x14ac:dyDescent="0.25">
      <c r="A331" t="s">
        <v>336</v>
      </c>
      <c r="B331">
        <v>23943.35</v>
      </c>
      <c r="C331">
        <v>23972.75</v>
      </c>
      <c r="D331">
        <v>23941.65</v>
      </c>
      <c r="E331">
        <v>23962.400000000001</v>
      </c>
      <c r="F331" s="2">
        <f t="shared" si="16"/>
        <v>31.099999999998545</v>
      </c>
      <c r="G331" s="3">
        <f t="shared" si="14"/>
        <v>42.579956524402078</v>
      </c>
      <c r="H331" t="str">
        <f t="shared" si="15"/>
        <v>2026-06</v>
      </c>
      <c r="I331">
        <v>3</v>
      </c>
    </row>
    <row r="332" spans="1:9" x14ac:dyDescent="0.25">
      <c r="A332" t="s">
        <v>337</v>
      </c>
      <c r="B332">
        <v>23962.1</v>
      </c>
      <c r="C332">
        <v>23977.8</v>
      </c>
      <c r="D332">
        <v>23959.599999999999</v>
      </c>
      <c r="E332">
        <v>23966.75</v>
      </c>
      <c r="F332" s="2">
        <f t="shared" si="16"/>
        <v>18.200000000000728</v>
      </c>
      <c r="G332" s="3">
        <f t="shared" si="14"/>
        <v>40.838531058373412</v>
      </c>
      <c r="H332" t="str">
        <f t="shared" si="15"/>
        <v>2026-06</v>
      </c>
      <c r="I332">
        <v>3</v>
      </c>
    </row>
    <row r="333" spans="1:9" x14ac:dyDescent="0.25">
      <c r="A333" t="s">
        <v>338</v>
      </c>
      <c r="B333">
        <v>23966.65</v>
      </c>
      <c r="C333">
        <v>23970.2</v>
      </c>
      <c r="D333">
        <v>23931.8</v>
      </c>
      <c r="E333">
        <v>23940.799999999999</v>
      </c>
      <c r="F333" s="2">
        <f t="shared" si="16"/>
        <v>38.400000000001455</v>
      </c>
      <c r="G333" s="3">
        <f t="shared" si="14"/>
        <v>40.664350268489706</v>
      </c>
      <c r="H333" t="str">
        <f t="shared" si="15"/>
        <v>2026-06</v>
      </c>
      <c r="I333">
        <v>3</v>
      </c>
    </row>
    <row r="334" spans="1:9" x14ac:dyDescent="0.25">
      <c r="A334" t="s">
        <v>339</v>
      </c>
      <c r="B334">
        <v>23940.55</v>
      </c>
      <c r="C334">
        <v>23951.4</v>
      </c>
      <c r="D334">
        <v>23923.95</v>
      </c>
      <c r="E334">
        <v>23929.4</v>
      </c>
      <c r="F334" s="2">
        <f t="shared" si="16"/>
        <v>27.450000000000728</v>
      </c>
      <c r="G334" s="3">
        <f t="shared" si="14"/>
        <v>39.720468106454781</v>
      </c>
      <c r="H334" t="str">
        <f t="shared" si="15"/>
        <v>2026-06</v>
      </c>
      <c r="I334">
        <v>3</v>
      </c>
    </row>
    <row r="335" spans="1:9" x14ac:dyDescent="0.25">
      <c r="A335" t="s">
        <v>340</v>
      </c>
      <c r="B335">
        <v>23929.45</v>
      </c>
      <c r="C335">
        <v>23934.35</v>
      </c>
      <c r="D335">
        <v>23911.45</v>
      </c>
      <c r="E335">
        <v>23927.1</v>
      </c>
      <c r="F335" s="2">
        <f t="shared" si="16"/>
        <v>22.899999999997817</v>
      </c>
      <c r="G335" s="3">
        <f t="shared" si="14"/>
        <v>38.51900609885071</v>
      </c>
      <c r="H335" t="str">
        <f t="shared" si="15"/>
        <v>2026-06</v>
      </c>
      <c r="I335">
        <v>3</v>
      </c>
    </row>
    <row r="336" spans="1:9" x14ac:dyDescent="0.25">
      <c r="A336" t="s">
        <v>341</v>
      </c>
      <c r="B336">
        <v>23927.599999999999</v>
      </c>
      <c r="C336">
        <v>23949.75</v>
      </c>
      <c r="D336">
        <v>23920.45</v>
      </c>
      <c r="E336">
        <v>23939.1</v>
      </c>
      <c r="F336" s="2">
        <f t="shared" si="16"/>
        <v>29.299999999999272</v>
      </c>
      <c r="G336" s="3">
        <f t="shared" ref="G336:G399" si="17">(G335*13+F336)/14</f>
        <v>37.860505663218468</v>
      </c>
      <c r="H336" t="str">
        <f t="shared" si="15"/>
        <v>2026-06</v>
      </c>
      <c r="I336">
        <v>3</v>
      </c>
    </row>
    <row r="337" spans="1:9" x14ac:dyDescent="0.25">
      <c r="A337" t="s">
        <v>342</v>
      </c>
      <c r="B337">
        <v>23938.5</v>
      </c>
      <c r="C337">
        <v>23943.65</v>
      </c>
      <c r="D337">
        <v>23919.1</v>
      </c>
      <c r="E337">
        <v>23928.55</v>
      </c>
      <c r="F337" s="2">
        <f t="shared" si="16"/>
        <v>24.55000000000291</v>
      </c>
      <c r="G337" s="3">
        <f t="shared" si="17"/>
        <v>36.909755258703072</v>
      </c>
      <c r="H337" t="str">
        <f t="shared" si="15"/>
        <v>2026-06</v>
      </c>
      <c r="I337">
        <v>3</v>
      </c>
    </row>
    <row r="338" spans="1:9" x14ac:dyDescent="0.25">
      <c r="A338" t="s">
        <v>343</v>
      </c>
      <c r="B338">
        <v>23928.05</v>
      </c>
      <c r="C338">
        <v>23943.200000000001</v>
      </c>
      <c r="D338">
        <v>23903.35</v>
      </c>
      <c r="E338">
        <v>23940.799999999999</v>
      </c>
      <c r="F338" s="2">
        <f t="shared" si="16"/>
        <v>39.850000000002183</v>
      </c>
      <c r="G338" s="3">
        <f t="shared" si="17"/>
        <v>37.119772740224434</v>
      </c>
      <c r="H338" t="str">
        <f t="shared" si="15"/>
        <v>2026-06</v>
      </c>
      <c r="I338">
        <v>3</v>
      </c>
    </row>
    <row r="339" spans="1:9" x14ac:dyDescent="0.25">
      <c r="A339" t="s">
        <v>344</v>
      </c>
      <c r="B339">
        <v>23940.15</v>
      </c>
      <c r="C339">
        <v>23947.1</v>
      </c>
      <c r="D339">
        <v>23919</v>
      </c>
      <c r="E339">
        <v>23927.15</v>
      </c>
      <c r="F339" s="2">
        <f t="shared" si="16"/>
        <v>28.099999999998545</v>
      </c>
      <c r="G339" s="3">
        <f t="shared" si="17"/>
        <v>36.475503258779732</v>
      </c>
      <c r="H339" t="str">
        <f t="shared" si="15"/>
        <v>2026-06</v>
      </c>
      <c r="I339">
        <v>3</v>
      </c>
    </row>
    <row r="340" spans="1:9" x14ac:dyDescent="0.25">
      <c r="A340" t="s">
        <v>345</v>
      </c>
      <c r="B340">
        <v>23927.25</v>
      </c>
      <c r="C340">
        <v>23938.75</v>
      </c>
      <c r="D340">
        <v>23915.5</v>
      </c>
      <c r="E340">
        <v>23936.25</v>
      </c>
      <c r="F340" s="2">
        <f t="shared" si="16"/>
        <v>23.25</v>
      </c>
      <c r="G340" s="3">
        <f t="shared" si="17"/>
        <v>35.530824454581179</v>
      </c>
      <c r="H340" t="str">
        <f t="shared" si="15"/>
        <v>2026-06</v>
      </c>
      <c r="I340">
        <v>3</v>
      </c>
    </row>
    <row r="341" spans="1:9" x14ac:dyDescent="0.25">
      <c r="A341" t="s">
        <v>346</v>
      </c>
      <c r="B341">
        <v>23935.65</v>
      </c>
      <c r="C341">
        <v>23950.65</v>
      </c>
      <c r="D341">
        <v>23923.45</v>
      </c>
      <c r="E341">
        <v>23946.5</v>
      </c>
      <c r="F341" s="2">
        <f t="shared" si="16"/>
        <v>27.200000000000728</v>
      </c>
      <c r="G341" s="3">
        <f t="shared" si="17"/>
        <v>34.935765564968293</v>
      </c>
      <c r="H341" t="str">
        <f t="shared" si="15"/>
        <v>2026-06</v>
      </c>
      <c r="I341">
        <v>3</v>
      </c>
    </row>
    <row r="342" spans="1:9" x14ac:dyDescent="0.25">
      <c r="A342" t="s">
        <v>347</v>
      </c>
      <c r="B342">
        <v>23946.85</v>
      </c>
      <c r="C342">
        <v>23969.8</v>
      </c>
      <c r="D342">
        <v>23935.5</v>
      </c>
      <c r="E342">
        <v>23966.7</v>
      </c>
      <c r="F342" s="2">
        <f t="shared" si="16"/>
        <v>34.299999999999272</v>
      </c>
      <c r="G342" s="3">
        <f t="shared" si="17"/>
        <v>34.890353738899073</v>
      </c>
      <c r="H342" t="str">
        <f t="shared" si="15"/>
        <v>2026-06</v>
      </c>
      <c r="I342">
        <v>3</v>
      </c>
    </row>
    <row r="343" spans="1:9" x14ac:dyDescent="0.25">
      <c r="A343" t="s">
        <v>348</v>
      </c>
      <c r="B343">
        <v>23966.799999999999</v>
      </c>
      <c r="C343">
        <v>23976.95</v>
      </c>
      <c r="D343">
        <v>23959.65</v>
      </c>
      <c r="E343">
        <v>23964.85</v>
      </c>
      <c r="F343" s="2">
        <f t="shared" si="16"/>
        <v>17.299999999999272</v>
      </c>
      <c r="G343" s="3">
        <f t="shared" si="17"/>
        <v>33.633899900406227</v>
      </c>
      <c r="H343" t="str">
        <f t="shared" si="15"/>
        <v>2026-06</v>
      </c>
      <c r="I343">
        <v>3</v>
      </c>
    </row>
    <row r="344" spans="1:9" x14ac:dyDescent="0.25">
      <c r="A344" t="s">
        <v>349</v>
      </c>
      <c r="B344">
        <v>23964.65</v>
      </c>
      <c r="C344">
        <v>23976.9</v>
      </c>
      <c r="D344">
        <v>23955.75</v>
      </c>
      <c r="E344">
        <v>23966.799999999999</v>
      </c>
      <c r="F344" s="2">
        <f t="shared" si="16"/>
        <v>21.150000000001455</v>
      </c>
      <c r="G344" s="3">
        <f t="shared" si="17"/>
        <v>32.742192764663031</v>
      </c>
      <c r="H344" t="str">
        <f t="shared" si="15"/>
        <v>2026-06</v>
      </c>
      <c r="I344">
        <v>3</v>
      </c>
    </row>
    <row r="345" spans="1:9" x14ac:dyDescent="0.25">
      <c r="A345" t="s">
        <v>350</v>
      </c>
      <c r="B345">
        <v>23967.05</v>
      </c>
      <c r="C345">
        <v>23997.8</v>
      </c>
      <c r="D345">
        <v>23963.45</v>
      </c>
      <c r="E345">
        <v>23995.9</v>
      </c>
      <c r="F345" s="2">
        <f t="shared" si="16"/>
        <v>34.349999999998545</v>
      </c>
      <c r="G345" s="3">
        <f t="shared" si="17"/>
        <v>32.85703613861557</v>
      </c>
      <c r="H345" t="str">
        <f t="shared" si="15"/>
        <v>2026-06</v>
      </c>
      <c r="I345">
        <v>3</v>
      </c>
    </row>
    <row r="346" spans="1:9" x14ac:dyDescent="0.25">
      <c r="A346" t="s">
        <v>351</v>
      </c>
      <c r="B346">
        <v>23994.35</v>
      </c>
      <c r="C346">
        <v>24000.3</v>
      </c>
      <c r="D346">
        <v>23978.1</v>
      </c>
      <c r="E346">
        <v>23984.6</v>
      </c>
      <c r="F346" s="2">
        <f t="shared" si="16"/>
        <v>22.200000000000728</v>
      </c>
      <c r="G346" s="3">
        <f t="shared" si="17"/>
        <v>32.095819271571649</v>
      </c>
      <c r="H346" t="str">
        <f t="shared" si="15"/>
        <v>2026-06</v>
      </c>
      <c r="I346">
        <v>3</v>
      </c>
    </row>
    <row r="347" spans="1:9" x14ac:dyDescent="0.25">
      <c r="A347" t="s">
        <v>352</v>
      </c>
      <c r="B347">
        <v>23984.2</v>
      </c>
      <c r="C347">
        <v>24002.400000000001</v>
      </c>
      <c r="D347">
        <v>23964.85</v>
      </c>
      <c r="E347">
        <v>23964.85</v>
      </c>
      <c r="F347" s="2">
        <f t="shared" si="16"/>
        <v>37.55000000000291</v>
      </c>
      <c r="G347" s="3">
        <f t="shared" si="17"/>
        <v>32.485403609316741</v>
      </c>
      <c r="H347" t="str">
        <f t="shared" si="15"/>
        <v>2026-06</v>
      </c>
      <c r="I347">
        <v>3</v>
      </c>
    </row>
    <row r="348" spans="1:9" x14ac:dyDescent="0.25">
      <c r="A348" t="s">
        <v>353</v>
      </c>
      <c r="B348">
        <v>23963.45</v>
      </c>
      <c r="C348">
        <v>23998.799999999999</v>
      </c>
      <c r="D348">
        <v>23962.7</v>
      </c>
      <c r="E348">
        <v>23988.05</v>
      </c>
      <c r="F348" s="2">
        <f t="shared" si="16"/>
        <v>36.099999999998545</v>
      </c>
      <c r="G348" s="3">
        <f t="shared" si="17"/>
        <v>32.743589065794012</v>
      </c>
      <c r="H348" t="str">
        <f t="shared" si="15"/>
        <v>2026-06</v>
      </c>
      <c r="I348">
        <v>3</v>
      </c>
    </row>
    <row r="349" spans="1:9" x14ac:dyDescent="0.25">
      <c r="A349" t="s">
        <v>354</v>
      </c>
      <c r="B349">
        <v>23986.45</v>
      </c>
      <c r="C349">
        <v>24002.6</v>
      </c>
      <c r="D349">
        <v>23976.6</v>
      </c>
      <c r="E349">
        <v>23987</v>
      </c>
      <c r="F349" s="2">
        <f t="shared" si="16"/>
        <v>26</v>
      </c>
      <c r="G349" s="3">
        <f t="shared" si="17"/>
        <v>32.261904132523014</v>
      </c>
      <c r="H349" t="str">
        <f t="shared" si="15"/>
        <v>2026-06</v>
      </c>
      <c r="I349">
        <v>3</v>
      </c>
    </row>
    <row r="350" spans="1:9" x14ac:dyDescent="0.25">
      <c r="A350" t="s">
        <v>355</v>
      </c>
      <c r="B350">
        <v>23986.799999999999</v>
      </c>
      <c r="C350">
        <v>23997.4</v>
      </c>
      <c r="D350">
        <v>23980.1</v>
      </c>
      <c r="E350">
        <v>23993.95</v>
      </c>
      <c r="F350" s="2">
        <f t="shared" si="16"/>
        <v>17.30000000000291</v>
      </c>
      <c r="G350" s="3">
        <f t="shared" si="17"/>
        <v>31.193196694485863</v>
      </c>
      <c r="H350" t="str">
        <f t="shared" si="15"/>
        <v>2026-06</v>
      </c>
      <c r="I350">
        <v>3</v>
      </c>
    </row>
    <row r="351" spans="1:9" x14ac:dyDescent="0.25">
      <c r="A351" t="s">
        <v>356</v>
      </c>
      <c r="B351">
        <v>24047.95</v>
      </c>
      <c r="C351">
        <v>24048.05</v>
      </c>
      <c r="D351">
        <v>23969.7</v>
      </c>
      <c r="E351">
        <v>24020.7</v>
      </c>
      <c r="F351" s="2">
        <f t="shared" si="16"/>
        <v>78.349999999998545</v>
      </c>
      <c r="G351" s="3">
        <f t="shared" si="17"/>
        <v>34.56153978773677</v>
      </c>
      <c r="H351" t="str">
        <f t="shared" si="15"/>
        <v>2026-06</v>
      </c>
      <c r="I351">
        <v>3</v>
      </c>
    </row>
    <row r="352" spans="1:9" x14ac:dyDescent="0.25">
      <c r="A352" t="s">
        <v>357</v>
      </c>
      <c r="B352">
        <v>24022.75</v>
      </c>
      <c r="C352">
        <v>24063.8</v>
      </c>
      <c r="D352">
        <v>24017.7</v>
      </c>
      <c r="E352">
        <v>24061.55</v>
      </c>
      <c r="F352" s="2">
        <f t="shared" si="16"/>
        <v>46.099999999998545</v>
      </c>
      <c r="G352" s="3">
        <f t="shared" si="17"/>
        <v>35.385715517184039</v>
      </c>
      <c r="H352" t="str">
        <f t="shared" si="15"/>
        <v>2026-06</v>
      </c>
      <c r="I352">
        <v>3</v>
      </c>
    </row>
    <row r="353" spans="1:9" x14ac:dyDescent="0.25">
      <c r="A353" t="s">
        <v>358</v>
      </c>
      <c r="B353">
        <v>24064.1</v>
      </c>
      <c r="C353">
        <v>24071.65</v>
      </c>
      <c r="D353">
        <v>24053.8</v>
      </c>
      <c r="E353">
        <v>24065.85</v>
      </c>
      <c r="F353" s="2">
        <f t="shared" si="16"/>
        <v>17.850000000002183</v>
      </c>
      <c r="G353" s="3">
        <f t="shared" si="17"/>
        <v>34.133164408813904</v>
      </c>
      <c r="H353" t="str">
        <f t="shared" si="15"/>
        <v>2026-06</v>
      </c>
      <c r="I353">
        <v>3</v>
      </c>
    </row>
    <row r="354" spans="1:9" x14ac:dyDescent="0.25">
      <c r="A354" t="s">
        <v>359</v>
      </c>
      <c r="B354">
        <v>24067.9</v>
      </c>
      <c r="C354">
        <v>24069.200000000001</v>
      </c>
      <c r="D354">
        <v>24043.15</v>
      </c>
      <c r="E354">
        <v>24047.7</v>
      </c>
      <c r="F354" s="2">
        <f t="shared" si="16"/>
        <v>26.049999999999272</v>
      </c>
      <c r="G354" s="3">
        <f t="shared" si="17"/>
        <v>33.55579552247</v>
      </c>
      <c r="H354" t="str">
        <f t="shared" si="15"/>
        <v>2026-06</v>
      </c>
      <c r="I354">
        <v>3</v>
      </c>
    </row>
    <row r="355" spans="1:9" x14ac:dyDescent="0.25">
      <c r="A355" t="s">
        <v>360</v>
      </c>
      <c r="B355">
        <v>24048.25</v>
      </c>
      <c r="C355">
        <v>24082.799999999999</v>
      </c>
      <c r="D355">
        <v>24046.45</v>
      </c>
      <c r="E355">
        <v>24066.9</v>
      </c>
      <c r="F355" s="2">
        <f t="shared" si="16"/>
        <v>36.349999999998545</v>
      </c>
      <c r="G355" s="3">
        <f t="shared" si="17"/>
        <v>33.755381556579181</v>
      </c>
      <c r="H355" t="str">
        <f t="shared" si="15"/>
        <v>2026-06</v>
      </c>
      <c r="I355">
        <v>3</v>
      </c>
    </row>
    <row r="356" spans="1:9" x14ac:dyDescent="0.25">
      <c r="A356" t="s">
        <v>361</v>
      </c>
      <c r="B356">
        <v>24067.8</v>
      </c>
      <c r="C356">
        <v>24088.6</v>
      </c>
      <c r="D356">
        <v>24062.5</v>
      </c>
      <c r="E356">
        <v>24085.75</v>
      </c>
      <c r="F356" s="2">
        <f t="shared" si="16"/>
        <v>26.099999999998545</v>
      </c>
      <c r="G356" s="3">
        <f t="shared" si="17"/>
        <v>33.208568588251993</v>
      </c>
      <c r="H356" t="str">
        <f t="shared" si="15"/>
        <v>2026-06</v>
      </c>
      <c r="I356">
        <v>3</v>
      </c>
    </row>
    <row r="357" spans="1:9" x14ac:dyDescent="0.25">
      <c r="A357" t="s">
        <v>362</v>
      </c>
      <c r="B357">
        <v>24086.35</v>
      </c>
      <c r="C357">
        <v>24097.4</v>
      </c>
      <c r="D357">
        <v>24073.95</v>
      </c>
      <c r="E357">
        <v>24080</v>
      </c>
      <c r="F357" s="2">
        <f t="shared" si="16"/>
        <v>23.450000000000728</v>
      </c>
      <c r="G357" s="3">
        <f t="shared" si="17"/>
        <v>32.511527974805475</v>
      </c>
      <c r="H357" t="str">
        <f t="shared" si="15"/>
        <v>2026-06</v>
      </c>
      <c r="I357">
        <v>3</v>
      </c>
    </row>
    <row r="358" spans="1:9" x14ac:dyDescent="0.25">
      <c r="A358" t="s">
        <v>363</v>
      </c>
      <c r="B358">
        <v>24081.7</v>
      </c>
      <c r="C358">
        <v>24083.1</v>
      </c>
      <c r="D358">
        <v>24062.05</v>
      </c>
      <c r="E358">
        <v>24081.7</v>
      </c>
      <c r="F358" s="2">
        <f t="shared" si="16"/>
        <v>21.049999999999272</v>
      </c>
      <c r="G358" s="3">
        <f t="shared" si="17"/>
        <v>31.692847405176458</v>
      </c>
      <c r="H358" t="str">
        <f t="shared" si="15"/>
        <v>2026-06</v>
      </c>
      <c r="I358">
        <v>3</v>
      </c>
    </row>
    <row r="359" spans="1:9" x14ac:dyDescent="0.25">
      <c r="A359" t="s">
        <v>364</v>
      </c>
      <c r="B359">
        <v>24082</v>
      </c>
      <c r="C359">
        <v>24091.45</v>
      </c>
      <c r="D359">
        <v>24073.05</v>
      </c>
      <c r="E359">
        <v>24088.95</v>
      </c>
      <c r="F359" s="2">
        <f t="shared" si="16"/>
        <v>18.400000000001455</v>
      </c>
      <c r="G359" s="3">
        <f t="shared" si="17"/>
        <v>30.743358304806815</v>
      </c>
      <c r="H359" t="str">
        <f t="shared" si="15"/>
        <v>2026-06</v>
      </c>
      <c r="I359">
        <v>3</v>
      </c>
    </row>
    <row r="360" spans="1:9" x14ac:dyDescent="0.25">
      <c r="A360" t="s">
        <v>365</v>
      </c>
      <c r="B360">
        <v>24089.9</v>
      </c>
      <c r="C360">
        <v>24108.2</v>
      </c>
      <c r="D360">
        <v>24066.9</v>
      </c>
      <c r="E360">
        <v>24083.3</v>
      </c>
      <c r="F360" s="2">
        <f t="shared" si="16"/>
        <v>41.299999999999272</v>
      </c>
      <c r="G360" s="3">
        <f t="shared" si="17"/>
        <v>31.497404140177704</v>
      </c>
      <c r="H360" t="str">
        <f t="shared" si="15"/>
        <v>2026-06</v>
      </c>
      <c r="I360">
        <v>3</v>
      </c>
    </row>
    <row r="361" spans="1:9" x14ac:dyDescent="0.25">
      <c r="A361" t="s">
        <v>366</v>
      </c>
      <c r="B361">
        <v>24084.15</v>
      </c>
      <c r="C361">
        <v>24085.599999999999</v>
      </c>
      <c r="D361">
        <v>24054.7</v>
      </c>
      <c r="E361">
        <v>24055.1</v>
      </c>
      <c r="F361" s="2">
        <f t="shared" si="16"/>
        <v>30.899999999997817</v>
      </c>
      <c r="G361" s="3">
        <f t="shared" si="17"/>
        <v>31.454732415879139</v>
      </c>
      <c r="H361" t="str">
        <f t="shared" si="15"/>
        <v>2026-06</v>
      </c>
      <c r="I361">
        <v>3</v>
      </c>
    </row>
    <row r="362" spans="1:9" x14ac:dyDescent="0.25">
      <c r="A362" t="s">
        <v>367</v>
      </c>
      <c r="B362">
        <v>24056.7</v>
      </c>
      <c r="C362">
        <v>24065.35</v>
      </c>
      <c r="D362">
        <v>24047.7</v>
      </c>
      <c r="E362">
        <v>24050.3</v>
      </c>
      <c r="F362" s="2">
        <f t="shared" si="16"/>
        <v>17.649999999997817</v>
      </c>
      <c r="G362" s="3">
        <f t="shared" si="17"/>
        <v>30.468680100459043</v>
      </c>
      <c r="H362" t="str">
        <f t="shared" si="15"/>
        <v>2026-06</v>
      </c>
      <c r="I362">
        <v>3</v>
      </c>
    </row>
    <row r="363" spans="1:9" x14ac:dyDescent="0.25">
      <c r="A363" t="s">
        <v>368</v>
      </c>
      <c r="B363">
        <v>24051.75</v>
      </c>
      <c r="C363">
        <v>24056.9</v>
      </c>
      <c r="D363">
        <v>24033</v>
      </c>
      <c r="E363">
        <v>24045.5</v>
      </c>
      <c r="F363" s="2">
        <f t="shared" si="16"/>
        <v>23.900000000001455</v>
      </c>
      <c r="G363" s="3">
        <f t="shared" si="17"/>
        <v>29.999488664712072</v>
      </c>
      <c r="H363" t="str">
        <f t="shared" si="15"/>
        <v>2026-06</v>
      </c>
      <c r="I363">
        <v>3</v>
      </c>
    </row>
    <row r="364" spans="1:9" x14ac:dyDescent="0.25">
      <c r="A364" t="s">
        <v>369</v>
      </c>
      <c r="B364">
        <v>24045.85</v>
      </c>
      <c r="C364">
        <v>24051.200000000001</v>
      </c>
      <c r="D364">
        <v>24032.35</v>
      </c>
      <c r="E364">
        <v>24044.25</v>
      </c>
      <c r="F364" s="2">
        <f t="shared" si="16"/>
        <v>18.850000000002183</v>
      </c>
      <c r="G364" s="3">
        <f t="shared" si="17"/>
        <v>29.203096617232795</v>
      </c>
      <c r="H364" t="str">
        <f t="shared" si="15"/>
        <v>2026-06</v>
      </c>
      <c r="I364">
        <v>3</v>
      </c>
    </row>
    <row r="365" spans="1:9" x14ac:dyDescent="0.25">
      <c r="A365" t="s">
        <v>370</v>
      </c>
      <c r="B365">
        <v>24044.9</v>
      </c>
      <c r="C365">
        <v>24053.95</v>
      </c>
      <c r="D365">
        <v>24027.35</v>
      </c>
      <c r="E365">
        <v>24029.5</v>
      </c>
      <c r="F365" s="2">
        <f t="shared" si="16"/>
        <v>26.600000000002183</v>
      </c>
      <c r="G365" s="3">
        <f t="shared" si="17"/>
        <v>29.017161144573464</v>
      </c>
      <c r="H365" t="str">
        <f t="shared" si="15"/>
        <v>2026-06</v>
      </c>
      <c r="I365">
        <v>3</v>
      </c>
    </row>
    <row r="366" spans="1:9" x14ac:dyDescent="0.25">
      <c r="A366" t="s">
        <v>371</v>
      </c>
      <c r="B366">
        <v>24030</v>
      </c>
      <c r="C366">
        <v>24040.400000000001</v>
      </c>
      <c r="D366">
        <v>24009.75</v>
      </c>
      <c r="E366">
        <v>24009.75</v>
      </c>
      <c r="F366" s="2">
        <f t="shared" si="16"/>
        <v>30.650000000001455</v>
      </c>
      <c r="G366" s="3">
        <f t="shared" si="17"/>
        <v>29.133792491389752</v>
      </c>
      <c r="H366" t="str">
        <f t="shared" si="15"/>
        <v>2026-06</v>
      </c>
      <c r="I366">
        <v>3</v>
      </c>
    </row>
    <row r="367" spans="1:9" x14ac:dyDescent="0.25">
      <c r="A367" t="s">
        <v>372</v>
      </c>
      <c r="B367">
        <v>24010.6</v>
      </c>
      <c r="C367">
        <v>24039.3</v>
      </c>
      <c r="D367">
        <v>24005.85</v>
      </c>
      <c r="E367">
        <v>24034.25</v>
      </c>
      <c r="F367" s="2">
        <f t="shared" si="16"/>
        <v>33.450000000000728</v>
      </c>
      <c r="G367" s="3">
        <f t="shared" si="17"/>
        <v>29.442093027719107</v>
      </c>
      <c r="H367" t="str">
        <f t="shared" si="15"/>
        <v>2026-06</v>
      </c>
      <c r="I367">
        <v>3</v>
      </c>
    </row>
    <row r="368" spans="1:9" x14ac:dyDescent="0.25">
      <c r="A368" t="s">
        <v>373</v>
      </c>
      <c r="B368">
        <v>24035.1</v>
      </c>
      <c r="C368">
        <v>24061.85</v>
      </c>
      <c r="D368">
        <v>24032.05</v>
      </c>
      <c r="E368">
        <v>24056.35</v>
      </c>
      <c r="F368" s="2">
        <f t="shared" si="16"/>
        <v>29.799999999999272</v>
      </c>
      <c r="G368" s="3">
        <f t="shared" si="17"/>
        <v>29.467657811453403</v>
      </c>
      <c r="H368" t="str">
        <f t="shared" si="15"/>
        <v>2026-06</v>
      </c>
      <c r="I368">
        <v>3</v>
      </c>
    </row>
    <row r="369" spans="1:9" x14ac:dyDescent="0.25">
      <c r="A369" t="s">
        <v>374</v>
      </c>
      <c r="B369">
        <v>24055.7</v>
      </c>
      <c r="C369">
        <v>24058.55</v>
      </c>
      <c r="D369">
        <v>24029.45</v>
      </c>
      <c r="E369">
        <v>24049.1</v>
      </c>
      <c r="F369" s="2">
        <f t="shared" si="16"/>
        <v>29.099999999998545</v>
      </c>
      <c r="G369" s="3">
        <f t="shared" si="17"/>
        <v>29.441396539206629</v>
      </c>
      <c r="H369" t="str">
        <f t="shared" si="15"/>
        <v>2026-06</v>
      </c>
      <c r="I369">
        <v>3</v>
      </c>
    </row>
    <row r="370" spans="1:9" x14ac:dyDescent="0.25">
      <c r="A370" t="s">
        <v>375</v>
      </c>
      <c r="B370">
        <v>24048.85</v>
      </c>
      <c r="C370">
        <v>24053.45</v>
      </c>
      <c r="D370">
        <v>24036.35</v>
      </c>
      <c r="E370">
        <v>24048</v>
      </c>
      <c r="F370" s="2">
        <f t="shared" si="16"/>
        <v>17.100000000002183</v>
      </c>
      <c r="G370" s="3">
        <f t="shared" si="17"/>
        <v>28.55986821497774</v>
      </c>
      <c r="H370" t="str">
        <f t="shared" si="15"/>
        <v>2026-06</v>
      </c>
      <c r="I370">
        <v>3</v>
      </c>
    </row>
    <row r="371" spans="1:9" x14ac:dyDescent="0.25">
      <c r="A371" t="s">
        <v>376</v>
      </c>
      <c r="B371">
        <v>24047.85</v>
      </c>
      <c r="C371">
        <v>24052.3</v>
      </c>
      <c r="D371">
        <v>24021.4</v>
      </c>
      <c r="E371">
        <v>24024.3</v>
      </c>
      <c r="F371" s="2">
        <f t="shared" si="16"/>
        <v>30.899999999997817</v>
      </c>
      <c r="G371" s="3">
        <f t="shared" si="17"/>
        <v>28.727020485336318</v>
      </c>
      <c r="H371" t="str">
        <f t="shared" si="15"/>
        <v>2026-06</v>
      </c>
      <c r="I371">
        <v>3</v>
      </c>
    </row>
    <row r="372" spans="1:9" x14ac:dyDescent="0.25">
      <c r="A372" t="s">
        <v>377</v>
      </c>
      <c r="B372">
        <v>24025.8</v>
      </c>
      <c r="C372">
        <v>24048.25</v>
      </c>
      <c r="D372">
        <v>24015.8</v>
      </c>
      <c r="E372">
        <v>24041.3</v>
      </c>
      <c r="F372" s="2">
        <f t="shared" si="16"/>
        <v>32.450000000000728</v>
      </c>
      <c r="G372" s="3">
        <f t="shared" si="17"/>
        <v>28.992947593526633</v>
      </c>
      <c r="H372" t="str">
        <f t="shared" si="15"/>
        <v>2026-06</v>
      </c>
      <c r="I372">
        <v>3</v>
      </c>
    </row>
    <row r="373" spans="1:9" x14ac:dyDescent="0.25">
      <c r="A373" t="s">
        <v>378</v>
      </c>
      <c r="B373">
        <v>24041.25</v>
      </c>
      <c r="C373">
        <v>24077.3</v>
      </c>
      <c r="D373">
        <v>24026.95</v>
      </c>
      <c r="E373">
        <v>24077.05</v>
      </c>
      <c r="F373" s="2">
        <f t="shared" si="16"/>
        <v>50.349999999998545</v>
      </c>
      <c r="G373" s="3">
        <f t="shared" si="17"/>
        <v>30.518451336846056</v>
      </c>
      <c r="H373" t="str">
        <f t="shared" si="15"/>
        <v>2026-06</v>
      </c>
      <c r="I373">
        <v>3</v>
      </c>
    </row>
    <row r="374" spans="1:9" x14ac:dyDescent="0.25">
      <c r="A374" t="s">
        <v>379</v>
      </c>
      <c r="B374">
        <v>24076.9</v>
      </c>
      <c r="C374">
        <v>24098.75</v>
      </c>
      <c r="D374">
        <v>24070.45</v>
      </c>
      <c r="E374">
        <v>24083.200000000001</v>
      </c>
      <c r="F374" s="2">
        <f t="shared" si="16"/>
        <v>28.299999999999272</v>
      </c>
      <c r="G374" s="3">
        <f t="shared" si="17"/>
        <v>30.359990527071286</v>
      </c>
      <c r="H374" t="str">
        <f t="shared" si="15"/>
        <v>2026-06</v>
      </c>
      <c r="I374">
        <v>3</v>
      </c>
    </row>
    <row r="375" spans="1:9" x14ac:dyDescent="0.25">
      <c r="A375" t="s">
        <v>380</v>
      </c>
      <c r="B375">
        <v>24083.599999999999</v>
      </c>
      <c r="C375">
        <v>24090</v>
      </c>
      <c r="D375">
        <v>24073.1</v>
      </c>
      <c r="E375">
        <v>24081</v>
      </c>
      <c r="F375" s="2">
        <f t="shared" si="16"/>
        <v>16.900000000001455</v>
      </c>
      <c r="G375" s="3">
        <f t="shared" si="17"/>
        <v>29.398562632280584</v>
      </c>
      <c r="H375" t="str">
        <f t="shared" si="15"/>
        <v>2026-06</v>
      </c>
      <c r="I375">
        <v>3</v>
      </c>
    </row>
    <row r="376" spans="1:9" x14ac:dyDescent="0.25">
      <c r="A376" t="s">
        <v>381</v>
      </c>
      <c r="B376">
        <v>24072.7</v>
      </c>
      <c r="C376">
        <v>24133.35</v>
      </c>
      <c r="D376">
        <v>24058.85</v>
      </c>
      <c r="E376">
        <v>24090.25</v>
      </c>
      <c r="F376" s="2">
        <f t="shared" si="16"/>
        <v>74.5</v>
      </c>
      <c r="G376" s="3">
        <f t="shared" si="17"/>
        <v>32.620093872831966</v>
      </c>
      <c r="H376" t="str">
        <f t="shared" si="15"/>
        <v>2026-06</v>
      </c>
      <c r="I376">
        <v>3</v>
      </c>
    </row>
    <row r="377" spans="1:9" x14ac:dyDescent="0.25">
      <c r="A377" t="s">
        <v>382</v>
      </c>
      <c r="B377">
        <v>24092.2</v>
      </c>
      <c r="C377">
        <v>24121.05</v>
      </c>
      <c r="D377">
        <v>24066.85</v>
      </c>
      <c r="E377">
        <v>24108.9</v>
      </c>
      <c r="F377" s="2">
        <f t="shared" si="16"/>
        <v>54.200000000000728</v>
      </c>
      <c r="G377" s="3">
        <f t="shared" si="17"/>
        <v>34.161515739058309</v>
      </c>
      <c r="H377" t="str">
        <f t="shared" si="15"/>
        <v>2026-06</v>
      </c>
      <c r="I377">
        <v>3</v>
      </c>
    </row>
    <row r="378" spans="1:9" x14ac:dyDescent="0.25">
      <c r="A378" t="s">
        <v>383</v>
      </c>
      <c r="B378">
        <v>24112</v>
      </c>
      <c r="C378">
        <v>24139.65</v>
      </c>
      <c r="D378">
        <v>24107.4</v>
      </c>
      <c r="E378">
        <v>24123.200000000001</v>
      </c>
      <c r="F378" s="2">
        <f t="shared" si="16"/>
        <v>32.25</v>
      </c>
      <c r="G378" s="3">
        <f t="shared" si="17"/>
        <v>34.024978900554146</v>
      </c>
      <c r="H378" t="str">
        <f t="shared" si="15"/>
        <v>2026-06</v>
      </c>
      <c r="I378">
        <v>3</v>
      </c>
    </row>
    <row r="379" spans="1:9" x14ac:dyDescent="0.25">
      <c r="A379" t="s">
        <v>384</v>
      </c>
      <c r="B379">
        <v>24126.85</v>
      </c>
      <c r="C379">
        <v>24138.400000000001</v>
      </c>
      <c r="D379">
        <v>24113.15</v>
      </c>
      <c r="E379">
        <v>24125.599999999999</v>
      </c>
      <c r="F379" s="2">
        <f t="shared" si="16"/>
        <v>25.25</v>
      </c>
      <c r="G379" s="3">
        <f t="shared" si="17"/>
        <v>33.398194693371707</v>
      </c>
      <c r="H379" t="str">
        <f t="shared" si="15"/>
        <v>2026-06</v>
      </c>
      <c r="I379">
        <v>3</v>
      </c>
    </row>
    <row r="380" spans="1:9" x14ac:dyDescent="0.25">
      <c r="A380" t="s">
        <v>385</v>
      </c>
      <c r="B380">
        <v>24127.4</v>
      </c>
      <c r="C380">
        <v>24130.799999999999</v>
      </c>
      <c r="D380">
        <v>24103.7</v>
      </c>
      <c r="E380">
        <v>24109.25</v>
      </c>
      <c r="F380" s="2">
        <f t="shared" si="16"/>
        <v>27.099999999998545</v>
      </c>
      <c r="G380" s="3">
        <f t="shared" si="17"/>
        <v>32.94832364384505</v>
      </c>
      <c r="H380" t="str">
        <f t="shared" si="15"/>
        <v>2026-06</v>
      </c>
      <c r="I380">
        <v>3</v>
      </c>
    </row>
    <row r="381" spans="1:9" x14ac:dyDescent="0.25">
      <c r="A381" t="s">
        <v>386</v>
      </c>
      <c r="B381">
        <v>24111.4</v>
      </c>
      <c r="C381">
        <v>24114.2</v>
      </c>
      <c r="D381">
        <v>24059.55</v>
      </c>
      <c r="E381">
        <v>24076.35</v>
      </c>
      <c r="F381" s="2">
        <f t="shared" si="16"/>
        <v>54.650000000001455</v>
      </c>
      <c r="G381" s="3">
        <f t="shared" si="17"/>
        <v>34.49844338357051</v>
      </c>
      <c r="H381" t="str">
        <f t="shared" si="15"/>
        <v>2026-06</v>
      </c>
      <c r="I381">
        <v>3</v>
      </c>
    </row>
    <row r="382" spans="1:9" x14ac:dyDescent="0.25">
      <c r="A382" t="s">
        <v>387</v>
      </c>
      <c r="B382">
        <v>24078.35</v>
      </c>
      <c r="C382">
        <v>24093.9</v>
      </c>
      <c r="D382">
        <v>24067.1</v>
      </c>
      <c r="E382">
        <v>24092.55</v>
      </c>
      <c r="F382" s="2">
        <f t="shared" si="16"/>
        <v>26.80000000000291</v>
      </c>
      <c r="G382" s="3">
        <f t="shared" si="17"/>
        <v>33.948554570458541</v>
      </c>
      <c r="H382" t="str">
        <f t="shared" si="15"/>
        <v>2026-06</v>
      </c>
      <c r="I382">
        <v>3</v>
      </c>
    </row>
    <row r="383" spans="1:9" x14ac:dyDescent="0.25">
      <c r="A383" t="s">
        <v>388</v>
      </c>
      <c r="B383">
        <v>24093.85</v>
      </c>
      <c r="C383">
        <v>24093.85</v>
      </c>
      <c r="D383">
        <v>24059.9</v>
      </c>
      <c r="E383">
        <v>24064.65</v>
      </c>
      <c r="F383" s="2">
        <f t="shared" si="16"/>
        <v>33.94999999999709</v>
      </c>
      <c r="G383" s="3">
        <f t="shared" si="17"/>
        <v>33.948657815425584</v>
      </c>
      <c r="H383" t="str">
        <f t="shared" si="15"/>
        <v>2026-06</v>
      </c>
      <c r="I383">
        <v>3</v>
      </c>
    </row>
    <row r="384" spans="1:9" x14ac:dyDescent="0.25">
      <c r="A384" t="s">
        <v>389</v>
      </c>
      <c r="B384">
        <v>24066.2</v>
      </c>
      <c r="C384">
        <v>24066.35</v>
      </c>
      <c r="D384">
        <v>24036.95</v>
      </c>
      <c r="E384">
        <v>24054.95</v>
      </c>
      <c r="F384" s="2">
        <f t="shared" si="16"/>
        <v>29.399999999997817</v>
      </c>
      <c r="G384" s="3">
        <f t="shared" si="17"/>
        <v>33.62375368575217</v>
      </c>
      <c r="H384" t="str">
        <f t="shared" si="15"/>
        <v>2026-06</v>
      </c>
      <c r="I384">
        <v>3</v>
      </c>
    </row>
    <row r="385" spans="1:9" x14ac:dyDescent="0.25">
      <c r="A385" t="s">
        <v>390</v>
      </c>
      <c r="B385">
        <v>24057.5</v>
      </c>
      <c r="C385">
        <v>24065.5</v>
      </c>
      <c r="D385">
        <v>24047.3</v>
      </c>
      <c r="E385">
        <v>24062.85</v>
      </c>
      <c r="F385" s="2">
        <f t="shared" si="16"/>
        <v>18.200000000000728</v>
      </c>
      <c r="G385" s="3">
        <f t="shared" si="17"/>
        <v>32.522056993912784</v>
      </c>
      <c r="H385" t="str">
        <f t="shared" si="15"/>
        <v>2026-06</v>
      </c>
      <c r="I385">
        <v>3</v>
      </c>
    </row>
    <row r="386" spans="1:9" x14ac:dyDescent="0.25">
      <c r="A386" t="s">
        <v>391</v>
      </c>
      <c r="B386">
        <v>24064.6</v>
      </c>
      <c r="C386">
        <v>24075.35</v>
      </c>
      <c r="D386">
        <v>24050.05</v>
      </c>
      <c r="E386">
        <v>24071.95</v>
      </c>
      <c r="F386" s="2">
        <f t="shared" si="16"/>
        <v>25.299999999999272</v>
      </c>
      <c r="G386" s="3">
        <f t="shared" si="17"/>
        <v>32.006195780061816</v>
      </c>
      <c r="H386" t="str">
        <f t="shared" ref="H386:H449" si="18">LEFT(A386,7)</f>
        <v>2026-06</v>
      </c>
      <c r="I386">
        <v>3</v>
      </c>
    </row>
    <row r="387" spans="1:9" x14ac:dyDescent="0.25">
      <c r="A387" t="s">
        <v>392</v>
      </c>
      <c r="B387">
        <v>24072.7</v>
      </c>
      <c r="C387">
        <v>24099.7</v>
      </c>
      <c r="D387">
        <v>24071.05</v>
      </c>
      <c r="E387">
        <v>24088.2</v>
      </c>
      <c r="F387" s="2">
        <f t="shared" ref="F387:F450" si="19">MAX(C387-D387,ABS(C387-E386),ABS(D387-E386))</f>
        <v>28.650000000001455</v>
      </c>
      <c r="G387" s="3">
        <f t="shared" si="17"/>
        <v>31.766467510057506</v>
      </c>
      <c r="H387" t="str">
        <f t="shared" si="18"/>
        <v>2026-06</v>
      </c>
      <c r="I387">
        <v>3</v>
      </c>
    </row>
    <row r="388" spans="1:9" x14ac:dyDescent="0.25">
      <c r="A388" t="s">
        <v>393</v>
      </c>
      <c r="B388">
        <v>24089.85</v>
      </c>
      <c r="C388">
        <v>24119.95</v>
      </c>
      <c r="D388">
        <v>24078.45</v>
      </c>
      <c r="E388">
        <v>24118.7</v>
      </c>
      <c r="F388" s="2">
        <f t="shared" si="19"/>
        <v>41.5</v>
      </c>
      <c r="G388" s="3">
        <f t="shared" si="17"/>
        <v>32.461719830767684</v>
      </c>
      <c r="H388" t="str">
        <f t="shared" si="18"/>
        <v>2026-06</v>
      </c>
      <c r="I388">
        <v>3</v>
      </c>
    </row>
    <row r="389" spans="1:9" x14ac:dyDescent="0.25">
      <c r="A389" t="s">
        <v>394</v>
      </c>
      <c r="B389">
        <v>24120.85</v>
      </c>
      <c r="C389">
        <v>24133.75</v>
      </c>
      <c r="D389">
        <v>24109.25</v>
      </c>
      <c r="E389">
        <v>24117.25</v>
      </c>
      <c r="F389" s="2">
        <f t="shared" si="19"/>
        <v>24.5</v>
      </c>
      <c r="G389" s="3">
        <f t="shared" si="17"/>
        <v>31.893025557141421</v>
      </c>
      <c r="H389" t="str">
        <f t="shared" si="18"/>
        <v>2026-06</v>
      </c>
      <c r="I389">
        <v>3</v>
      </c>
    </row>
    <row r="390" spans="1:9" x14ac:dyDescent="0.25">
      <c r="A390" t="s">
        <v>395</v>
      </c>
      <c r="B390">
        <v>24118.75</v>
      </c>
      <c r="C390">
        <v>24132.25</v>
      </c>
      <c r="D390">
        <v>24111.45</v>
      </c>
      <c r="E390">
        <v>24125.65</v>
      </c>
      <c r="F390" s="2">
        <f t="shared" si="19"/>
        <v>20.799999999999272</v>
      </c>
      <c r="G390" s="3">
        <f t="shared" si="17"/>
        <v>31.100666588774125</v>
      </c>
      <c r="H390" t="str">
        <f t="shared" si="18"/>
        <v>2026-06</v>
      </c>
      <c r="I390">
        <v>3</v>
      </c>
    </row>
    <row r="391" spans="1:9" x14ac:dyDescent="0.25">
      <c r="A391" t="s">
        <v>396</v>
      </c>
      <c r="B391">
        <v>24127.65</v>
      </c>
      <c r="C391">
        <v>24130.85</v>
      </c>
      <c r="D391">
        <v>24116.6</v>
      </c>
      <c r="E391">
        <v>24127.8</v>
      </c>
      <c r="F391" s="2">
        <f t="shared" si="19"/>
        <v>14.25</v>
      </c>
      <c r="G391" s="3">
        <f t="shared" si="17"/>
        <v>29.897047546718831</v>
      </c>
      <c r="H391" t="str">
        <f t="shared" si="18"/>
        <v>2026-06</v>
      </c>
      <c r="I391">
        <v>3</v>
      </c>
    </row>
    <row r="392" spans="1:9" x14ac:dyDescent="0.25">
      <c r="A392" t="s">
        <v>397</v>
      </c>
      <c r="B392">
        <v>24129.95</v>
      </c>
      <c r="C392">
        <v>24136.3</v>
      </c>
      <c r="D392">
        <v>24100.65</v>
      </c>
      <c r="E392">
        <v>24120.45</v>
      </c>
      <c r="F392" s="2">
        <f t="shared" si="19"/>
        <v>35.649999999997817</v>
      </c>
      <c r="G392" s="3">
        <f t="shared" si="17"/>
        <v>30.307972721953043</v>
      </c>
      <c r="H392" t="str">
        <f t="shared" si="18"/>
        <v>2026-06</v>
      </c>
      <c r="I392">
        <v>3</v>
      </c>
    </row>
    <row r="393" spans="1:9" x14ac:dyDescent="0.25">
      <c r="A393" t="s">
        <v>398</v>
      </c>
      <c r="B393">
        <v>24121.9</v>
      </c>
      <c r="C393">
        <v>24135</v>
      </c>
      <c r="D393">
        <v>24111.8</v>
      </c>
      <c r="E393">
        <v>24120.7</v>
      </c>
      <c r="F393" s="2">
        <f t="shared" si="19"/>
        <v>23.200000000000728</v>
      </c>
      <c r="G393" s="3">
        <f t="shared" si="17"/>
        <v>29.800260384670736</v>
      </c>
      <c r="H393" t="str">
        <f t="shared" si="18"/>
        <v>2026-06</v>
      </c>
      <c r="I393">
        <v>3</v>
      </c>
    </row>
    <row r="394" spans="1:9" x14ac:dyDescent="0.25">
      <c r="A394" t="s">
        <v>399</v>
      </c>
      <c r="B394">
        <v>24122</v>
      </c>
      <c r="C394">
        <v>24127.65</v>
      </c>
      <c r="D394">
        <v>24103.85</v>
      </c>
      <c r="E394">
        <v>24108.35</v>
      </c>
      <c r="F394" s="2">
        <f t="shared" si="19"/>
        <v>23.80000000000291</v>
      </c>
      <c r="G394" s="3">
        <f t="shared" si="17"/>
        <v>29.371670357194464</v>
      </c>
      <c r="H394" t="str">
        <f t="shared" si="18"/>
        <v>2026-06</v>
      </c>
      <c r="I394">
        <v>3</v>
      </c>
    </row>
    <row r="395" spans="1:9" x14ac:dyDescent="0.25">
      <c r="A395" t="s">
        <v>400</v>
      </c>
      <c r="B395">
        <v>24109.95</v>
      </c>
      <c r="C395">
        <v>24112</v>
      </c>
      <c r="D395">
        <v>24094.6</v>
      </c>
      <c r="E395">
        <v>24099.75</v>
      </c>
      <c r="F395" s="2">
        <f t="shared" si="19"/>
        <v>17.400000000001455</v>
      </c>
      <c r="G395" s="3">
        <f t="shared" si="17"/>
        <v>28.516551045966391</v>
      </c>
      <c r="H395" t="str">
        <f t="shared" si="18"/>
        <v>2026-06</v>
      </c>
      <c r="I395">
        <v>3</v>
      </c>
    </row>
    <row r="396" spans="1:9" x14ac:dyDescent="0.25">
      <c r="A396" t="s">
        <v>401</v>
      </c>
      <c r="B396">
        <v>24100.799999999999</v>
      </c>
      <c r="C396">
        <v>24110.05</v>
      </c>
      <c r="D396">
        <v>24083.75</v>
      </c>
      <c r="E396">
        <v>24088.35</v>
      </c>
      <c r="F396" s="2">
        <f t="shared" si="19"/>
        <v>26.299999999999272</v>
      </c>
      <c r="G396" s="3">
        <f t="shared" si="17"/>
        <v>28.358225971254456</v>
      </c>
      <c r="H396" t="str">
        <f t="shared" si="18"/>
        <v>2026-06</v>
      </c>
      <c r="I396">
        <v>3</v>
      </c>
    </row>
    <row r="397" spans="1:9" x14ac:dyDescent="0.25">
      <c r="A397" t="s">
        <v>402</v>
      </c>
      <c r="B397">
        <v>24090.65</v>
      </c>
      <c r="C397">
        <v>24113.05</v>
      </c>
      <c r="D397">
        <v>24074.7</v>
      </c>
      <c r="E397">
        <v>24097.200000000001</v>
      </c>
      <c r="F397" s="2">
        <f t="shared" si="19"/>
        <v>38.349999999998545</v>
      </c>
      <c r="G397" s="3">
        <f t="shared" si="17"/>
        <v>29.071924116164748</v>
      </c>
      <c r="H397" t="str">
        <f t="shared" si="18"/>
        <v>2026-06</v>
      </c>
      <c r="I397">
        <v>3</v>
      </c>
    </row>
    <row r="398" spans="1:9" x14ac:dyDescent="0.25">
      <c r="A398" t="s">
        <v>403</v>
      </c>
      <c r="B398">
        <v>24098.7</v>
      </c>
      <c r="C398">
        <v>24121.4</v>
      </c>
      <c r="D398">
        <v>24081.35</v>
      </c>
      <c r="E398">
        <v>24121.4</v>
      </c>
      <c r="F398" s="2">
        <f t="shared" si="19"/>
        <v>40.05000000000291</v>
      </c>
      <c r="G398" s="3">
        <f t="shared" si="17"/>
        <v>29.856072393581762</v>
      </c>
      <c r="H398" t="str">
        <f t="shared" si="18"/>
        <v>2026-06</v>
      </c>
      <c r="I398">
        <v>3</v>
      </c>
    </row>
    <row r="399" spans="1:9" x14ac:dyDescent="0.25">
      <c r="A399" t="s">
        <v>404</v>
      </c>
      <c r="B399">
        <v>24121.9</v>
      </c>
      <c r="C399">
        <v>24183.55</v>
      </c>
      <c r="D399">
        <v>24108.3</v>
      </c>
      <c r="E399">
        <v>24177.45</v>
      </c>
      <c r="F399" s="2">
        <f t="shared" si="19"/>
        <v>75.25</v>
      </c>
      <c r="G399" s="3">
        <f t="shared" si="17"/>
        <v>33.098495794040204</v>
      </c>
      <c r="H399" t="str">
        <f t="shared" si="18"/>
        <v>2026-06</v>
      </c>
      <c r="I399">
        <v>3</v>
      </c>
    </row>
    <row r="400" spans="1:9" x14ac:dyDescent="0.25">
      <c r="A400" t="s">
        <v>405</v>
      </c>
      <c r="B400">
        <v>24177.8</v>
      </c>
      <c r="C400">
        <v>24189.25</v>
      </c>
      <c r="D400">
        <v>24171.25</v>
      </c>
      <c r="E400">
        <v>24179.4</v>
      </c>
      <c r="F400" s="2">
        <f t="shared" si="19"/>
        <v>18</v>
      </c>
      <c r="G400" s="3">
        <f t="shared" ref="G400:G463" si="20">(G399*13+F400)/14</f>
        <v>32.020031808751618</v>
      </c>
      <c r="H400" t="str">
        <f t="shared" si="18"/>
        <v>2026-06</v>
      </c>
      <c r="I400">
        <v>3</v>
      </c>
    </row>
    <row r="401" spans="1:9" x14ac:dyDescent="0.25">
      <c r="A401" t="s">
        <v>406</v>
      </c>
      <c r="B401">
        <v>23998.799999999999</v>
      </c>
      <c r="C401">
        <v>23998.799999999999</v>
      </c>
      <c r="D401">
        <v>23939.8</v>
      </c>
      <c r="E401">
        <v>23955.95</v>
      </c>
      <c r="F401" s="2">
        <f t="shared" si="19"/>
        <v>239.60000000000218</v>
      </c>
      <c r="G401" s="3">
        <f t="shared" si="20"/>
        <v>46.847172393840943</v>
      </c>
      <c r="H401" t="str">
        <f t="shared" si="18"/>
        <v>2026-06</v>
      </c>
      <c r="I401">
        <v>3</v>
      </c>
    </row>
    <row r="402" spans="1:9" x14ac:dyDescent="0.25">
      <c r="A402" t="s">
        <v>407</v>
      </c>
      <c r="B402">
        <v>23955.55</v>
      </c>
      <c r="C402">
        <v>23981.95</v>
      </c>
      <c r="D402">
        <v>23938.75</v>
      </c>
      <c r="E402">
        <v>23974.1</v>
      </c>
      <c r="F402" s="2">
        <f t="shared" si="19"/>
        <v>43.200000000000728</v>
      </c>
      <c r="G402" s="3">
        <f t="shared" si="20"/>
        <v>46.586660079995212</v>
      </c>
      <c r="H402" t="str">
        <f t="shared" si="18"/>
        <v>2026-06</v>
      </c>
      <c r="I402">
        <v>3</v>
      </c>
    </row>
    <row r="403" spans="1:9" x14ac:dyDescent="0.25">
      <c r="A403" t="s">
        <v>408</v>
      </c>
      <c r="B403">
        <v>23975.200000000001</v>
      </c>
      <c r="C403">
        <v>23990.05</v>
      </c>
      <c r="D403">
        <v>23961.8</v>
      </c>
      <c r="E403">
        <v>23987.9</v>
      </c>
      <c r="F403" s="2">
        <f t="shared" si="19"/>
        <v>28.25</v>
      </c>
      <c r="G403" s="3">
        <f t="shared" si="20"/>
        <v>45.276898645709835</v>
      </c>
      <c r="H403" t="str">
        <f t="shared" si="18"/>
        <v>2026-06</v>
      </c>
      <c r="I403">
        <v>3</v>
      </c>
    </row>
    <row r="404" spans="1:9" x14ac:dyDescent="0.25">
      <c r="A404" t="s">
        <v>409</v>
      </c>
      <c r="B404">
        <v>23987.7</v>
      </c>
      <c r="C404">
        <v>24011.25</v>
      </c>
      <c r="D404">
        <v>23963.599999999999</v>
      </c>
      <c r="E404">
        <v>24009.95</v>
      </c>
      <c r="F404" s="2">
        <f t="shared" si="19"/>
        <v>47.650000000001455</v>
      </c>
      <c r="G404" s="3">
        <f t="shared" si="20"/>
        <v>45.446405885302099</v>
      </c>
      <c r="H404" t="str">
        <f t="shared" si="18"/>
        <v>2026-06</v>
      </c>
      <c r="I404">
        <v>3</v>
      </c>
    </row>
    <row r="405" spans="1:9" x14ac:dyDescent="0.25">
      <c r="A405" t="s">
        <v>410</v>
      </c>
      <c r="B405">
        <v>24010.35</v>
      </c>
      <c r="C405">
        <v>24011.5</v>
      </c>
      <c r="D405">
        <v>23965.25</v>
      </c>
      <c r="E405">
        <v>23966.85</v>
      </c>
      <c r="F405" s="2">
        <f t="shared" si="19"/>
        <v>46.25</v>
      </c>
      <c r="G405" s="3">
        <f t="shared" si="20"/>
        <v>45.503805464923381</v>
      </c>
      <c r="H405" t="str">
        <f t="shared" si="18"/>
        <v>2026-06</v>
      </c>
      <c r="I405">
        <v>3</v>
      </c>
    </row>
    <row r="406" spans="1:9" x14ac:dyDescent="0.25">
      <c r="A406" t="s">
        <v>411</v>
      </c>
      <c r="B406">
        <v>23966.75</v>
      </c>
      <c r="C406">
        <v>23972.6</v>
      </c>
      <c r="D406">
        <v>23953.9</v>
      </c>
      <c r="E406">
        <v>23970.7</v>
      </c>
      <c r="F406" s="2">
        <f t="shared" si="19"/>
        <v>18.69999999999709</v>
      </c>
      <c r="G406" s="3">
        <f t="shared" si="20"/>
        <v>43.589247931714361</v>
      </c>
      <c r="H406" t="str">
        <f t="shared" si="18"/>
        <v>2026-06</v>
      </c>
      <c r="I406">
        <v>3</v>
      </c>
    </row>
    <row r="407" spans="1:9" x14ac:dyDescent="0.25">
      <c r="A407" t="s">
        <v>412</v>
      </c>
      <c r="B407">
        <v>23970.2</v>
      </c>
      <c r="C407">
        <v>23972.3</v>
      </c>
      <c r="D407">
        <v>23940.5</v>
      </c>
      <c r="E407">
        <v>23944.9</v>
      </c>
      <c r="F407" s="2">
        <f t="shared" si="19"/>
        <v>31.799999999999272</v>
      </c>
      <c r="G407" s="3">
        <f t="shared" si="20"/>
        <v>42.747158793734705</v>
      </c>
      <c r="H407" t="str">
        <f t="shared" si="18"/>
        <v>2026-06</v>
      </c>
      <c r="I407">
        <v>3</v>
      </c>
    </row>
    <row r="408" spans="1:9" x14ac:dyDescent="0.25">
      <c r="A408" t="s">
        <v>413</v>
      </c>
      <c r="B408">
        <v>23944.799999999999</v>
      </c>
      <c r="C408">
        <v>23965.5</v>
      </c>
      <c r="D408">
        <v>23936.25</v>
      </c>
      <c r="E408">
        <v>23964.55</v>
      </c>
      <c r="F408" s="2">
        <f t="shared" si="19"/>
        <v>29.25</v>
      </c>
      <c r="G408" s="3">
        <f t="shared" si="20"/>
        <v>41.783076022753654</v>
      </c>
      <c r="H408" t="str">
        <f t="shared" si="18"/>
        <v>2026-06</v>
      </c>
      <c r="I408">
        <v>3</v>
      </c>
    </row>
    <row r="409" spans="1:9" x14ac:dyDescent="0.25">
      <c r="A409" t="s">
        <v>414</v>
      </c>
      <c r="B409">
        <v>23964.5</v>
      </c>
      <c r="C409">
        <v>23967.4</v>
      </c>
      <c r="D409">
        <v>23941.85</v>
      </c>
      <c r="E409">
        <v>23953.05</v>
      </c>
      <c r="F409" s="2">
        <f t="shared" si="19"/>
        <v>25.55000000000291</v>
      </c>
      <c r="G409" s="3">
        <f t="shared" si="20"/>
        <v>40.623570592557179</v>
      </c>
      <c r="H409" t="str">
        <f t="shared" si="18"/>
        <v>2026-06</v>
      </c>
      <c r="I409">
        <v>3</v>
      </c>
    </row>
    <row r="410" spans="1:9" x14ac:dyDescent="0.25">
      <c r="A410" t="s">
        <v>415</v>
      </c>
      <c r="B410">
        <v>23953.75</v>
      </c>
      <c r="C410">
        <v>23968.3</v>
      </c>
      <c r="D410">
        <v>23947.05</v>
      </c>
      <c r="E410">
        <v>23954.2</v>
      </c>
      <c r="F410" s="2">
        <f t="shared" si="19"/>
        <v>21.25</v>
      </c>
      <c r="G410" s="3">
        <f t="shared" si="20"/>
        <v>39.239744121660237</v>
      </c>
      <c r="H410" t="str">
        <f t="shared" si="18"/>
        <v>2026-06</v>
      </c>
      <c r="I410">
        <v>3</v>
      </c>
    </row>
    <row r="411" spans="1:9" x14ac:dyDescent="0.25">
      <c r="A411" t="s">
        <v>416</v>
      </c>
      <c r="B411">
        <v>23954.45</v>
      </c>
      <c r="C411">
        <v>23956.2</v>
      </c>
      <c r="D411">
        <v>23940.2</v>
      </c>
      <c r="E411">
        <v>23954.400000000001</v>
      </c>
      <c r="F411" s="2">
        <f t="shared" si="19"/>
        <v>16</v>
      </c>
      <c r="G411" s="3">
        <f t="shared" si="20"/>
        <v>37.579762398684508</v>
      </c>
      <c r="H411" t="str">
        <f t="shared" si="18"/>
        <v>2026-06</v>
      </c>
      <c r="I411">
        <v>3</v>
      </c>
    </row>
    <row r="412" spans="1:9" x14ac:dyDescent="0.25">
      <c r="A412" t="s">
        <v>417</v>
      </c>
      <c r="B412">
        <v>23955.15</v>
      </c>
      <c r="C412">
        <v>23967.7</v>
      </c>
      <c r="D412">
        <v>23948.3</v>
      </c>
      <c r="E412">
        <v>23959.45</v>
      </c>
      <c r="F412" s="2">
        <f t="shared" si="19"/>
        <v>19.400000000001455</v>
      </c>
      <c r="G412" s="3">
        <f t="shared" si="20"/>
        <v>36.281207941635721</v>
      </c>
      <c r="H412" t="str">
        <f t="shared" si="18"/>
        <v>2026-06</v>
      </c>
      <c r="I412">
        <v>3</v>
      </c>
    </row>
    <row r="413" spans="1:9" x14ac:dyDescent="0.25">
      <c r="A413" t="s">
        <v>418</v>
      </c>
      <c r="B413">
        <v>23959.4</v>
      </c>
      <c r="C413">
        <v>23974.5</v>
      </c>
      <c r="D413">
        <v>23953.3</v>
      </c>
      <c r="E413">
        <v>23968.85</v>
      </c>
      <c r="F413" s="2">
        <f t="shared" si="19"/>
        <v>21.200000000000728</v>
      </c>
      <c r="G413" s="3">
        <f t="shared" si="20"/>
        <v>35.203978802947503</v>
      </c>
      <c r="H413" t="str">
        <f t="shared" si="18"/>
        <v>2026-06</v>
      </c>
      <c r="I413">
        <v>3</v>
      </c>
    </row>
    <row r="414" spans="1:9" x14ac:dyDescent="0.25">
      <c r="A414" t="s">
        <v>419</v>
      </c>
      <c r="B414">
        <v>23968.9</v>
      </c>
      <c r="C414">
        <v>23972.25</v>
      </c>
      <c r="D414">
        <v>23924.9</v>
      </c>
      <c r="E414">
        <v>23951.55</v>
      </c>
      <c r="F414" s="2">
        <f t="shared" si="19"/>
        <v>47.349999999998545</v>
      </c>
      <c r="G414" s="3">
        <f t="shared" si="20"/>
        <v>36.071551745594007</v>
      </c>
      <c r="H414" t="str">
        <f t="shared" si="18"/>
        <v>2026-06</v>
      </c>
      <c r="I414">
        <v>3</v>
      </c>
    </row>
    <row r="415" spans="1:9" x14ac:dyDescent="0.25">
      <c r="A415" t="s">
        <v>420</v>
      </c>
      <c r="B415">
        <v>23951.95</v>
      </c>
      <c r="C415">
        <v>23962.35</v>
      </c>
      <c r="D415">
        <v>23931</v>
      </c>
      <c r="E415">
        <v>23937.9</v>
      </c>
      <c r="F415" s="2">
        <f t="shared" si="19"/>
        <v>31.349999999998545</v>
      </c>
      <c r="G415" s="3">
        <f t="shared" si="20"/>
        <v>35.734298049480046</v>
      </c>
      <c r="H415" t="str">
        <f t="shared" si="18"/>
        <v>2026-06</v>
      </c>
      <c r="I415">
        <v>3</v>
      </c>
    </row>
    <row r="416" spans="1:9" x14ac:dyDescent="0.25">
      <c r="A416" t="s">
        <v>421</v>
      </c>
      <c r="B416">
        <v>23938</v>
      </c>
      <c r="C416">
        <v>23938.6</v>
      </c>
      <c r="D416">
        <v>23913.15</v>
      </c>
      <c r="E416">
        <v>23930.2</v>
      </c>
      <c r="F416" s="2">
        <f t="shared" si="19"/>
        <v>25.44999999999709</v>
      </c>
      <c r="G416" s="3">
        <f t="shared" si="20"/>
        <v>34.999705331659833</v>
      </c>
      <c r="H416" t="str">
        <f t="shared" si="18"/>
        <v>2026-06</v>
      </c>
      <c r="I416">
        <v>3</v>
      </c>
    </row>
    <row r="417" spans="1:9" x14ac:dyDescent="0.25">
      <c r="A417" t="s">
        <v>422</v>
      </c>
      <c r="B417">
        <v>23930.35</v>
      </c>
      <c r="C417">
        <v>23933.4</v>
      </c>
      <c r="D417">
        <v>23914.85</v>
      </c>
      <c r="E417">
        <v>23928.15</v>
      </c>
      <c r="F417" s="2">
        <f t="shared" si="19"/>
        <v>18.55000000000291</v>
      </c>
      <c r="G417" s="3">
        <f t="shared" si="20"/>
        <v>33.824726379398626</v>
      </c>
      <c r="H417" t="str">
        <f t="shared" si="18"/>
        <v>2026-06</v>
      </c>
      <c r="I417">
        <v>3</v>
      </c>
    </row>
    <row r="418" spans="1:9" x14ac:dyDescent="0.25">
      <c r="A418" t="s">
        <v>423</v>
      </c>
      <c r="B418">
        <v>23928.799999999999</v>
      </c>
      <c r="C418">
        <v>23950</v>
      </c>
      <c r="D418">
        <v>23925.8</v>
      </c>
      <c r="E418">
        <v>23946.95</v>
      </c>
      <c r="F418" s="2">
        <f t="shared" si="19"/>
        <v>24.200000000000728</v>
      </c>
      <c r="G418" s="3">
        <f t="shared" si="20"/>
        <v>33.137245923727349</v>
      </c>
      <c r="H418" t="str">
        <f t="shared" si="18"/>
        <v>2026-06</v>
      </c>
      <c r="I418">
        <v>3</v>
      </c>
    </row>
    <row r="419" spans="1:9" x14ac:dyDescent="0.25">
      <c r="A419" t="s">
        <v>424</v>
      </c>
      <c r="B419">
        <v>23946.799999999999</v>
      </c>
      <c r="C419">
        <v>23967.05</v>
      </c>
      <c r="D419">
        <v>23945.55</v>
      </c>
      <c r="E419">
        <v>23966.85</v>
      </c>
      <c r="F419" s="2">
        <f t="shared" si="19"/>
        <v>21.5</v>
      </c>
      <c r="G419" s="3">
        <f t="shared" si="20"/>
        <v>32.306014072032539</v>
      </c>
      <c r="H419" t="str">
        <f t="shared" si="18"/>
        <v>2026-06</v>
      </c>
      <c r="I419">
        <v>3</v>
      </c>
    </row>
    <row r="420" spans="1:9" x14ac:dyDescent="0.25">
      <c r="A420" t="s">
        <v>425</v>
      </c>
      <c r="B420">
        <v>23966.9</v>
      </c>
      <c r="C420">
        <v>23992.2</v>
      </c>
      <c r="D420">
        <v>23955.3</v>
      </c>
      <c r="E420">
        <v>23991.45</v>
      </c>
      <c r="F420" s="2">
        <f t="shared" si="19"/>
        <v>36.900000000001455</v>
      </c>
      <c r="G420" s="3">
        <f t="shared" si="20"/>
        <v>32.634155924030317</v>
      </c>
      <c r="H420" t="str">
        <f t="shared" si="18"/>
        <v>2026-06</v>
      </c>
      <c r="I420">
        <v>3</v>
      </c>
    </row>
    <row r="421" spans="1:9" x14ac:dyDescent="0.25">
      <c r="A421" t="s">
        <v>426</v>
      </c>
      <c r="B421">
        <v>23992.3</v>
      </c>
      <c r="C421">
        <v>24000.6</v>
      </c>
      <c r="D421">
        <v>23954.9</v>
      </c>
      <c r="E421">
        <v>23957.05</v>
      </c>
      <c r="F421" s="2">
        <f t="shared" si="19"/>
        <v>45.69999999999709</v>
      </c>
      <c r="G421" s="3">
        <f t="shared" si="20"/>
        <v>33.567430500885088</v>
      </c>
      <c r="H421" t="str">
        <f t="shared" si="18"/>
        <v>2026-06</v>
      </c>
      <c r="I421">
        <v>3</v>
      </c>
    </row>
    <row r="422" spans="1:9" x14ac:dyDescent="0.25">
      <c r="A422" t="s">
        <v>427</v>
      </c>
      <c r="B422">
        <v>23958.05</v>
      </c>
      <c r="C422">
        <v>23995.5</v>
      </c>
      <c r="D422">
        <v>23957.8</v>
      </c>
      <c r="E422">
        <v>23974</v>
      </c>
      <c r="F422" s="2">
        <f t="shared" si="19"/>
        <v>38.450000000000728</v>
      </c>
      <c r="G422" s="3">
        <f t="shared" si="20"/>
        <v>33.916185465107631</v>
      </c>
      <c r="H422" t="str">
        <f t="shared" si="18"/>
        <v>2026-06</v>
      </c>
      <c r="I422">
        <v>3</v>
      </c>
    </row>
    <row r="423" spans="1:9" x14ac:dyDescent="0.25">
      <c r="A423" t="s">
        <v>428</v>
      </c>
      <c r="B423">
        <v>23973.25</v>
      </c>
      <c r="C423">
        <v>23981.7</v>
      </c>
      <c r="D423">
        <v>23901.9</v>
      </c>
      <c r="E423">
        <v>23910.55</v>
      </c>
      <c r="F423" s="2">
        <f t="shared" si="19"/>
        <v>79.799999999999272</v>
      </c>
      <c r="G423" s="3">
        <f t="shared" si="20"/>
        <v>37.193600789028459</v>
      </c>
      <c r="H423" t="str">
        <f t="shared" si="18"/>
        <v>2026-06</v>
      </c>
      <c r="I423">
        <v>3</v>
      </c>
    </row>
    <row r="424" spans="1:9" x14ac:dyDescent="0.25">
      <c r="A424" t="s">
        <v>429</v>
      </c>
      <c r="B424">
        <v>23911.599999999999</v>
      </c>
      <c r="C424">
        <v>24042.65</v>
      </c>
      <c r="D424">
        <v>23904.45</v>
      </c>
      <c r="E424">
        <v>24025.9</v>
      </c>
      <c r="F424" s="2">
        <f t="shared" si="19"/>
        <v>138.20000000000073</v>
      </c>
      <c r="G424" s="3">
        <f t="shared" si="20"/>
        <v>44.408343589812198</v>
      </c>
      <c r="H424" t="str">
        <f t="shared" si="18"/>
        <v>2026-06</v>
      </c>
      <c r="I424">
        <v>3</v>
      </c>
    </row>
    <row r="425" spans="1:9" x14ac:dyDescent="0.25">
      <c r="A425" t="s">
        <v>430</v>
      </c>
      <c r="B425">
        <v>24026.95</v>
      </c>
      <c r="C425">
        <v>24047.200000000001</v>
      </c>
      <c r="D425">
        <v>24010.400000000001</v>
      </c>
      <c r="E425">
        <v>24044.2</v>
      </c>
      <c r="F425" s="2">
        <f t="shared" si="19"/>
        <v>36.799999999999272</v>
      </c>
      <c r="G425" s="3">
        <f t="shared" si="20"/>
        <v>43.864890476254132</v>
      </c>
      <c r="H425" t="str">
        <f t="shared" si="18"/>
        <v>2026-06</v>
      </c>
      <c r="I425">
        <v>3</v>
      </c>
    </row>
    <row r="426" spans="1:9" x14ac:dyDescent="0.25">
      <c r="A426" t="s">
        <v>431</v>
      </c>
      <c r="B426">
        <v>24110.45</v>
      </c>
      <c r="C426">
        <v>24142.5</v>
      </c>
      <c r="D426">
        <v>24073.15</v>
      </c>
      <c r="E426">
        <v>24131.200000000001</v>
      </c>
      <c r="F426" s="2">
        <f t="shared" si="19"/>
        <v>98.299999999999272</v>
      </c>
      <c r="G426" s="3">
        <f t="shared" si="20"/>
        <v>47.753112585093071</v>
      </c>
      <c r="H426" t="str">
        <f t="shared" si="18"/>
        <v>2026-06</v>
      </c>
      <c r="I426">
        <v>3</v>
      </c>
    </row>
    <row r="427" spans="1:9" x14ac:dyDescent="0.25">
      <c r="A427" t="s">
        <v>432</v>
      </c>
      <c r="B427">
        <v>24130.25</v>
      </c>
      <c r="C427">
        <v>24138.5</v>
      </c>
      <c r="D427">
        <v>24108.75</v>
      </c>
      <c r="E427">
        <v>24108.75</v>
      </c>
      <c r="F427" s="2">
        <f t="shared" si="19"/>
        <v>29.75</v>
      </c>
      <c r="G427" s="3">
        <f t="shared" si="20"/>
        <v>46.46717597187213</v>
      </c>
      <c r="H427" t="str">
        <f t="shared" si="18"/>
        <v>2026-06</v>
      </c>
      <c r="I427">
        <v>3</v>
      </c>
    </row>
    <row r="428" spans="1:9" x14ac:dyDescent="0.25">
      <c r="A428" t="s">
        <v>433</v>
      </c>
      <c r="B428">
        <v>24109.5</v>
      </c>
      <c r="C428">
        <v>24144.05</v>
      </c>
      <c r="D428">
        <v>24103.75</v>
      </c>
      <c r="E428">
        <v>24141.15</v>
      </c>
      <c r="F428" s="2">
        <f t="shared" si="19"/>
        <v>40.299999999999272</v>
      </c>
      <c r="G428" s="3">
        <f t="shared" si="20"/>
        <v>46.026663402452641</v>
      </c>
      <c r="H428" t="str">
        <f t="shared" si="18"/>
        <v>2026-06</v>
      </c>
      <c r="I428">
        <v>3</v>
      </c>
    </row>
    <row r="429" spans="1:9" x14ac:dyDescent="0.25">
      <c r="A429" t="s">
        <v>434</v>
      </c>
      <c r="B429">
        <v>24141.5</v>
      </c>
      <c r="C429">
        <v>24159.65</v>
      </c>
      <c r="D429">
        <v>24129.5</v>
      </c>
      <c r="E429">
        <v>24149.65</v>
      </c>
      <c r="F429" s="2">
        <f t="shared" si="19"/>
        <v>30.150000000001455</v>
      </c>
      <c r="G429" s="3">
        <f t="shared" si="20"/>
        <v>44.892616016563274</v>
      </c>
      <c r="H429" t="str">
        <f t="shared" si="18"/>
        <v>2026-06</v>
      </c>
      <c r="I429">
        <v>3</v>
      </c>
    </row>
    <row r="430" spans="1:9" x14ac:dyDescent="0.25">
      <c r="A430" t="s">
        <v>435</v>
      </c>
      <c r="B430">
        <v>24149.55</v>
      </c>
      <c r="C430">
        <v>24156.2</v>
      </c>
      <c r="D430">
        <v>24144.25</v>
      </c>
      <c r="E430">
        <v>24152.799999999999</v>
      </c>
      <c r="F430" s="2">
        <f t="shared" si="19"/>
        <v>11.950000000000728</v>
      </c>
      <c r="G430" s="3">
        <f t="shared" si="20"/>
        <v>42.539572015380237</v>
      </c>
      <c r="H430" t="str">
        <f t="shared" si="18"/>
        <v>2026-06</v>
      </c>
      <c r="I430">
        <v>3</v>
      </c>
    </row>
    <row r="431" spans="1:9" x14ac:dyDescent="0.25">
      <c r="A431" t="s">
        <v>436</v>
      </c>
      <c r="B431">
        <v>24153.85</v>
      </c>
      <c r="C431">
        <v>24159.1</v>
      </c>
      <c r="D431">
        <v>24136.55</v>
      </c>
      <c r="E431">
        <v>24152.9</v>
      </c>
      <c r="F431" s="2">
        <f t="shared" si="19"/>
        <v>22.549999999999272</v>
      </c>
      <c r="G431" s="3">
        <f t="shared" si="20"/>
        <v>41.111745442853028</v>
      </c>
      <c r="H431" t="str">
        <f t="shared" si="18"/>
        <v>2026-06</v>
      </c>
      <c r="I431">
        <v>3</v>
      </c>
    </row>
    <row r="432" spans="1:9" x14ac:dyDescent="0.25">
      <c r="A432" t="s">
        <v>437</v>
      </c>
      <c r="B432">
        <v>24152.75</v>
      </c>
      <c r="C432">
        <v>24168.05</v>
      </c>
      <c r="D432">
        <v>24147.8</v>
      </c>
      <c r="E432">
        <v>24162.85</v>
      </c>
      <c r="F432" s="2">
        <f t="shared" si="19"/>
        <v>20.25</v>
      </c>
      <c r="G432" s="3">
        <f t="shared" si="20"/>
        <v>39.621620768363528</v>
      </c>
      <c r="H432" t="str">
        <f t="shared" si="18"/>
        <v>2026-06</v>
      </c>
      <c r="I432">
        <v>3</v>
      </c>
    </row>
    <row r="433" spans="1:9" x14ac:dyDescent="0.25">
      <c r="A433" t="s">
        <v>438</v>
      </c>
      <c r="B433">
        <v>24162.75</v>
      </c>
      <c r="C433">
        <v>24165.3</v>
      </c>
      <c r="D433">
        <v>24153.35</v>
      </c>
      <c r="E433">
        <v>24157.3</v>
      </c>
      <c r="F433" s="2">
        <f t="shared" si="19"/>
        <v>11.950000000000728</v>
      </c>
      <c r="G433" s="3">
        <f t="shared" si="20"/>
        <v>37.645076427766185</v>
      </c>
      <c r="H433" t="str">
        <f t="shared" si="18"/>
        <v>2026-06</v>
      </c>
      <c r="I433">
        <v>3</v>
      </c>
    </row>
    <row r="434" spans="1:9" x14ac:dyDescent="0.25">
      <c r="A434" t="s">
        <v>439</v>
      </c>
      <c r="B434">
        <v>24156.65</v>
      </c>
      <c r="C434">
        <v>24163.1</v>
      </c>
      <c r="D434">
        <v>24141.4</v>
      </c>
      <c r="E434">
        <v>24160.65</v>
      </c>
      <c r="F434" s="2">
        <f t="shared" si="19"/>
        <v>21.69999999999709</v>
      </c>
      <c r="G434" s="3">
        <f t="shared" si="20"/>
        <v>36.506142397211249</v>
      </c>
      <c r="H434" t="str">
        <f t="shared" si="18"/>
        <v>2026-06</v>
      </c>
      <c r="I434">
        <v>3</v>
      </c>
    </row>
    <row r="435" spans="1:9" x14ac:dyDescent="0.25">
      <c r="A435" t="s">
        <v>440</v>
      </c>
      <c r="B435">
        <v>24161.3</v>
      </c>
      <c r="C435">
        <v>24166.05</v>
      </c>
      <c r="D435">
        <v>24145.7</v>
      </c>
      <c r="E435">
        <v>24148.35</v>
      </c>
      <c r="F435" s="2">
        <f t="shared" si="19"/>
        <v>20.349999999998545</v>
      </c>
      <c r="G435" s="3">
        <f t="shared" si="20"/>
        <v>35.352132225981769</v>
      </c>
      <c r="H435" t="str">
        <f t="shared" si="18"/>
        <v>2026-06</v>
      </c>
      <c r="I435">
        <v>3</v>
      </c>
    </row>
    <row r="436" spans="1:9" x14ac:dyDescent="0.25">
      <c r="A436" t="s">
        <v>441</v>
      </c>
      <c r="B436">
        <v>24148.15</v>
      </c>
      <c r="C436">
        <v>24152.55</v>
      </c>
      <c r="D436">
        <v>24129.65</v>
      </c>
      <c r="E436">
        <v>24140.400000000001</v>
      </c>
      <c r="F436" s="2">
        <f t="shared" si="19"/>
        <v>22.899999999997817</v>
      </c>
      <c r="G436" s="3">
        <f t="shared" si="20"/>
        <v>34.462694209840059</v>
      </c>
      <c r="H436" t="str">
        <f t="shared" si="18"/>
        <v>2026-06</v>
      </c>
      <c r="I436">
        <v>3</v>
      </c>
    </row>
    <row r="437" spans="1:9" x14ac:dyDescent="0.25">
      <c r="A437" t="s">
        <v>442</v>
      </c>
      <c r="B437">
        <v>24140.45</v>
      </c>
      <c r="C437">
        <v>24142.15</v>
      </c>
      <c r="D437">
        <v>24117.85</v>
      </c>
      <c r="E437">
        <v>24118.2</v>
      </c>
      <c r="F437" s="2">
        <f t="shared" si="19"/>
        <v>24.30000000000291</v>
      </c>
      <c r="G437" s="3">
        <f t="shared" si="20"/>
        <v>33.73678748056598</v>
      </c>
      <c r="H437" t="str">
        <f t="shared" si="18"/>
        <v>2026-06</v>
      </c>
      <c r="I437">
        <v>3</v>
      </c>
    </row>
    <row r="438" spans="1:9" x14ac:dyDescent="0.25">
      <c r="A438" t="s">
        <v>443</v>
      </c>
      <c r="B438">
        <v>24117.65</v>
      </c>
      <c r="C438">
        <v>24129.15</v>
      </c>
      <c r="D438">
        <v>24112.35</v>
      </c>
      <c r="E438">
        <v>24119.85</v>
      </c>
      <c r="F438" s="2">
        <f t="shared" si="19"/>
        <v>16.80000000000291</v>
      </c>
      <c r="G438" s="3">
        <f t="shared" si="20"/>
        <v>32.527016946240046</v>
      </c>
      <c r="H438" t="str">
        <f t="shared" si="18"/>
        <v>2026-06</v>
      </c>
      <c r="I438">
        <v>3</v>
      </c>
    </row>
    <row r="439" spans="1:9" x14ac:dyDescent="0.25">
      <c r="A439" t="s">
        <v>444</v>
      </c>
      <c r="B439">
        <v>24119.65</v>
      </c>
      <c r="C439">
        <v>24126.25</v>
      </c>
      <c r="D439">
        <v>24109.8</v>
      </c>
      <c r="E439">
        <v>24118.75</v>
      </c>
      <c r="F439" s="2">
        <f t="shared" si="19"/>
        <v>16.450000000000728</v>
      </c>
      <c r="G439" s="3">
        <f t="shared" si="20"/>
        <v>31.378658592937235</v>
      </c>
      <c r="H439" t="str">
        <f t="shared" si="18"/>
        <v>2026-06</v>
      </c>
      <c r="I439">
        <v>3</v>
      </c>
    </row>
    <row r="440" spans="1:9" x14ac:dyDescent="0.25">
      <c r="A440" t="s">
        <v>445</v>
      </c>
      <c r="B440">
        <v>24118.6</v>
      </c>
      <c r="C440">
        <v>24127.05</v>
      </c>
      <c r="D440">
        <v>24112.25</v>
      </c>
      <c r="E440">
        <v>24123.5</v>
      </c>
      <c r="F440" s="2">
        <f t="shared" si="19"/>
        <v>14.799999999999272</v>
      </c>
      <c r="G440" s="3">
        <f t="shared" si="20"/>
        <v>30.194468693441667</v>
      </c>
      <c r="H440" t="str">
        <f t="shared" si="18"/>
        <v>2026-06</v>
      </c>
      <c r="I440">
        <v>3</v>
      </c>
    </row>
    <row r="441" spans="1:9" x14ac:dyDescent="0.25">
      <c r="A441" t="s">
        <v>446</v>
      </c>
      <c r="B441">
        <v>24123.3</v>
      </c>
      <c r="C441">
        <v>24123.85</v>
      </c>
      <c r="D441">
        <v>24105.1</v>
      </c>
      <c r="E441">
        <v>24112.799999999999</v>
      </c>
      <c r="F441" s="2">
        <f t="shared" si="19"/>
        <v>18.75</v>
      </c>
      <c r="G441" s="3">
        <f t="shared" si="20"/>
        <v>29.377006643910118</v>
      </c>
      <c r="H441" t="str">
        <f t="shared" si="18"/>
        <v>2026-06</v>
      </c>
      <c r="I441">
        <v>3</v>
      </c>
    </row>
    <row r="442" spans="1:9" x14ac:dyDescent="0.25">
      <c r="A442" t="s">
        <v>447</v>
      </c>
      <c r="B442">
        <v>24114.2</v>
      </c>
      <c r="C442">
        <v>24127.200000000001</v>
      </c>
      <c r="D442">
        <v>24111.55</v>
      </c>
      <c r="E442">
        <v>24118.7</v>
      </c>
      <c r="F442" s="2">
        <f t="shared" si="19"/>
        <v>15.650000000001455</v>
      </c>
      <c r="G442" s="3">
        <f t="shared" si="20"/>
        <v>28.396506169345212</v>
      </c>
      <c r="H442" t="str">
        <f t="shared" si="18"/>
        <v>2026-06</v>
      </c>
      <c r="I442">
        <v>3</v>
      </c>
    </row>
    <row r="443" spans="1:9" x14ac:dyDescent="0.25">
      <c r="A443" t="s">
        <v>448</v>
      </c>
      <c r="B443">
        <v>24118.3</v>
      </c>
      <c r="C443">
        <v>24127.7</v>
      </c>
      <c r="D443">
        <v>24097.15</v>
      </c>
      <c r="E443">
        <v>24119.45</v>
      </c>
      <c r="F443" s="2">
        <f t="shared" si="19"/>
        <v>30.549999999999272</v>
      </c>
      <c r="G443" s="3">
        <f t="shared" si="20"/>
        <v>28.550327157249075</v>
      </c>
      <c r="H443" t="str">
        <f t="shared" si="18"/>
        <v>2026-06</v>
      </c>
      <c r="I443">
        <v>3</v>
      </c>
    </row>
    <row r="444" spans="1:9" x14ac:dyDescent="0.25">
      <c r="A444" t="s">
        <v>449</v>
      </c>
      <c r="B444">
        <v>24119.65</v>
      </c>
      <c r="C444">
        <v>24136.5</v>
      </c>
      <c r="D444">
        <v>24115.85</v>
      </c>
      <c r="E444">
        <v>24126</v>
      </c>
      <c r="F444" s="2">
        <f t="shared" si="19"/>
        <v>20.650000000001455</v>
      </c>
      <c r="G444" s="3">
        <f t="shared" si="20"/>
        <v>27.986018074588532</v>
      </c>
      <c r="H444" t="str">
        <f t="shared" si="18"/>
        <v>2026-06</v>
      </c>
      <c r="I444">
        <v>3</v>
      </c>
    </row>
    <row r="445" spans="1:9" x14ac:dyDescent="0.25">
      <c r="A445" t="s">
        <v>450</v>
      </c>
      <c r="B445">
        <v>24126.2</v>
      </c>
      <c r="C445">
        <v>24133.15</v>
      </c>
      <c r="D445">
        <v>24117.15</v>
      </c>
      <c r="E445">
        <v>24118.45</v>
      </c>
      <c r="F445" s="2">
        <f t="shared" si="19"/>
        <v>16</v>
      </c>
      <c r="G445" s="3">
        <f t="shared" si="20"/>
        <v>27.129873926403636</v>
      </c>
      <c r="H445" t="str">
        <f t="shared" si="18"/>
        <v>2026-06</v>
      </c>
      <c r="I445">
        <v>3</v>
      </c>
    </row>
    <row r="446" spans="1:9" x14ac:dyDescent="0.25">
      <c r="A446" t="s">
        <v>451</v>
      </c>
      <c r="B446">
        <v>24118</v>
      </c>
      <c r="C446">
        <v>24141.55</v>
      </c>
      <c r="D446">
        <v>24112.95</v>
      </c>
      <c r="E446">
        <v>24138.799999999999</v>
      </c>
      <c r="F446" s="2">
        <f t="shared" si="19"/>
        <v>28.599999999998545</v>
      </c>
      <c r="G446" s="3">
        <f t="shared" si="20"/>
        <v>27.234882931660415</v>
      </c>
      <c r="H446" t="str">
        <f t="shared" si="18"/>
        <v>2026-06</v>
      </c>
      <c r="I446">
        <v>3</v>
      </c>
    </row>
    <row r="447" spans="1:9" x14ac:dyDescent="0.25">
      <c r="A447" t="s">
        <v>452</v>
      </c>
      <c r="B447">
        <v>24138.7</v>
      </c>
      <c r="C447">
        <v>24145.45</v>
      </c>
      <c r="D447">
        <v>24125.7</v>
      </c>
      <c r="E447">
        <v>24134.65</v>
      </c>
      <c r="F447" s="2">
        <f t="shared" si="19"/>
        <v>19.75</v>
      </c>
      <c r="G447" s="3">
        <f t="shared" si="20"/>
        <v>26.700248436541813</v>
      </c>
      <c r="H447" t="str">
        <f t="shared" si="18"/>
        <v>2026-06</v>
      </c>
      <c r="I447">
        <v>3</v>
      </c>
    </row>
    <row r="448" spans="1:9" x14ac:dyDescent="0.25">
      <c r="A448" t="s">
        <v>453</v>
      </c>
      <c r="B448">
        <v>24136.35</v>
      </c>
      <c r="C448">
        <v>24145.15</v>
      </c>
      <c r="D448">
        <v>24129.200000000001</v>
      </c>
      <c r="E448">
        <v>24132.55</v>
      </c>
      <c r="F448" s="2">
        <f t="shared" si="19"/>
        <v>15.950000000000728</v>
      </c>
      <c r="G448" s="3">
        <f t="shared" si="20"/>
        <v>25.932373548217448</v>
      </c>
      <c r="H448" t="str">
        <f t="shared" si="18"/>
        <v>2026-06</v>
      </c>
      <c r="I448">
        <v>3</v>
      </c>
    </row>
    <row r="449" spans="1:9" x14ac:dyDescent="0.25">
      <c r="A449" t="s">
        <v>454</v>
      </c>
      <c r="B449">
        <v>24133.599999999999</v>
      </c>
      <c r="C449">
        <v>24143</v>
      </c>
      <c r="D449">
        <v>24099.85</v>
      </c>
      <c r="E449">
        <v>24105.65</v>
      </c>
      <c r="F449" s="2">
        <f t="shared" si="19"/>
        <v>43.150000000001455</v>
      </c>
      <c r="G449" s="3">
        <f t="shared" si="20"/>
        <v>27.162204009059163</v>
      </c>
      <c r="H449" t="str">
        <f t="shared" si="18"/>
        <v>2026-06</v>
      </c>
      <c r="I449">
        <v>3</v>
      </c>
    </row>
    <row r="450" spans="1:9" x14ac:dyDescent="0.25">
      <c r="A450" t="s">
        <v>455</v>
      </c>
      <c r="B450">
        <v>24105.5</v>
      </c>
      <c r="C450">
        <v>24111.15</v>
      </c>
      <c r="D450">
        <v>24080.1</v>
      </c>
      <c r="E450">
        <v>24086.85</v>
      </c>
      <c r="F450" s="2">
        <f t="shared" si="19"/>
        <v>31.05000000000291</v>
      </c>
      <c r="G450" s="3">
        <f t="shared" si="20"/>
        <v>27.439903722698002</v>
      </c>
      <c r="H450" t="str">
        <f t="shared" ref="H450:H513" si="21">LEFT(A450,7)</f>
        <v>2026-06</v>
      </c>
      <c r="I450">
        <v>3</v>
      </c>
    </row>
    <row r="451" spans="1:9" x14ac:dyDescent="0.25">
      <c r="A451" t="s">
        <v>456</v>
      </c>
      <c r="B451">
        <v>24074.25</v>
      </c>
      <c r="C451">
        <v>24095.55</v>
      </c>
      <c r="D451">
        <v>24040.05</v>
      </c>
      <c r="E451">
        <v>24088.95</v>
      </c>
      <c r="F451" s="2">
        <f t="shared" ref="F451:F514" si="22">MAX(C451-D451,ABS(C451-E450),ABS(D451-E450))</f>
        <v>55.5</v>
      </c>
      <c r="G451" s="3">
        <f t="shared" si="20"/>
        <v>29.444196313933862</v>
      </c>
      <c r="H451" t="str">
        <f t="shared" si="21"/>
        <v>2026-06</v>
      </c>
      <c r="I451">
        <v>3</v>
      </c>
    </row>
    <row r="452" spans="1:9" x14ac:dyDescent="0.25">
      <c r="A452" t="s">
        <v>457</v>
      </c>
      <c r="B452">
        <v>24090.05</v>
      </c>
      <c r="C452">
        <v>24133.05</v>
      </c>
      <c r="D452">
        <v>24088.2</v>
      </c>
      <c r="E452">
        <v>24115.5</v>
      </c>
      <c r="F452" s="2">
        <f t="shared" si="22"/>
        <v>44.849999999998545</v>
      </c>
      <c r="G452" s="3">
        <f t="shared" si="20"/>
        <v>30.54461086293848</v>
      </c>
      <c r="H452" t="str">
        <f t="shared" si="21"/>
        <v>2026-06</v>
      </c>
      <c r="I452">
        <v>3</v>
      </c>
    </row>
    <row r="453" spans="1:9" x14ac:dyDescent="0.25">
      <c r="A453" t="s">
        <v>458</v>
      </c>
      <c r="B453">
        <v>24115.25</v>
      </c>
      <c r="C453">
        <v>24133.200000000001</v>
      </c>
      <c r="D453">
        <v>24107.35</v>
      </c>
      <c r="E453">
        <v>24131.3</v>
      </c>
      <c r="F453" s="2">
        <f t="shared" si="22"/>
        <v>25.850000000002183</v>
      </c>
      <c r="G453" s="3">
        <f t="shared" si="20"/>
        <v>30.209281515585889</v>
      </c>
      <c r="H453" t="str">
        <f t="shared" si="21"/>
        <v>2026-06</v>
      </c>
      <c r="I453">
        <v>3</v>
      </c>
    </row>
    <row r="454" spans="1:9" x14ac:dyDescent="0.25">
      <c r="A454" t="s">
        <v>459</v>
      </c>
      <c r="B454">
        <v>24131.25</v>
      </c>
      <c r="C454">
        <v>24135.5</v>
      </c>
      <c r="D454">
        <v>24113.85</v>
      </c>
      <c r="E454">
        <v>24124.05</v>
      </c>
      <c r="F454" s="2">
        <f t="shared" si="22"/>
        <v>21.650000000001455</v>
      </c>
      <c r="G454" s="3">
        <f t="shared" si="20"/>
        <v>29.597904264472714</v>
      </c>
      <c r="H454" t="str">
        <f t="shared" si="21"/>
        <v>2026-06</v>
      </c>
      <c r="I454">
        <v>3</v>
      </c>
    </row>
    <row r="455" spans="1:9" x14ac:dyDescent="0.25">
      <c r="A455" t="s">
        <v>460</v>
      </c>
      <c r="B455">
        <v>24123.45</v>
      </c>
      <c r="C455">
        <v>24130.1</v>
      </c>
      <c r="D455">
        <v>24106.1</v>
      </c>
      <c r="E455">
        <v>24112.45</v>
      </c>
      <c r="F455" s="2">
        <f t="shared" si="22"/>
        <v>24</v>
      </c>
      <c r="G455" s="3">
        <f t="shared" si="20"/>
        <v>29.198053959867519</v>
      </c>
      <c r="H455" t="str">
        <f t="shared" si="21"/>
        <v>2026-06</v>
      </c>
      <c r="I455">
        <v>3</v>
      </c>
    </row>
    <row r="456" spans="1:9" x14ac:dyDescent="0.25">
      <c r="A456" t="s">
        <v>461</v>
      </c>
      <c r="B456">
        <v>24112.799999999999</v>
      </c>
      <c r="C456">
        <v>24119.3</v>
      </c>
      <c r="D456">
        <v>24104</v>
      </c>
      <c r="E456">
        <v>24105.65</v>
      </c>
      <c r="F456" s="2">
        <f t="shared" si="22"/>
        <v>15.299999999999272</v>
      </c>
      <c r="G456" s="3">
        <f t="shared" si="20"/>
        <v>28.205335819876929</v>
      </c>
      <c r="H456" t="str">
        <f t="shared" si="21"/>
        <v>2026-06</v>
      </c>
      <c r="I456">
        <v>3</v>
      </c>
    </row>
    <row r="457" spans="1:9" x14ac:dyDescent="0.25">
      <c r="A457" t="s">
        <v>462</v>
      </c>
      <c r="B457">
        <v>24106.9</v>
      </c>
      <c r="C457">
        <v>24107.05</v>
      </c>
      <c r="D457">
        <v>24090.9</v>
      </c>
      <c r="E457">
        <v>24093.85</v>
      </c>
      <c r="F457" s="2">
        <f t="shared" si="22"/>
        <v>16.149999999997817</v>
      </c>
      <c r="G457" s="3">
        <f t="shared" si="20"/>
        <v>27.344240404171277</v>
      </c>
      <c r="H457" t="str">
        <f t="shared" si="21"/>
        <v>2026-06</v>
      </c>
      <c r="I457">
        <v>3</v>
      </c>
    </row>
    <row r="458" spans="1:9" x14ac:dyDescent="0.25">
      <c r="A458" t="s">
        <v>463</v>
      </c>
      <c r="B458">
        <v>24093.599999999999</v>
      </c>
      <c r="C458">
        <v>24115.45</v>
      </c>
      <c r="D458">
        <v>24083.55</v>
      </c>
      <c r="E458">
        <v>24114.400000000001</v>
      </c>
      <c r="F458" s="2">
        <f t="shared" si="22"/>
        <v>31.900000000001455</v>
      </c>
      <c r="G458" s="3">
        <f t="shared" si="20"/>
        <v>27.669651803873432</v>
      </c>
      <c r="H458" t="str">
        <f t="shared" si="21"/>
        <v>2026-06</v>
      </c>
      <c r="I458">
        <v>3</v>
      </c>
    </row>
    <row r="459" spans="1:9" x14ac:dyDescent="0.25">
      <c r="A459" t="s">
        <v>464</v>
      </c>
      <c r="B459">
        <v>24112.95</v>
      </c>
      <c r="C459">
        <v>24130.45</v>
      </c>
      <c r="D459">
        <v>24112.45</v>
      </c>
      <c r="E459">
        <v>24112.95</v>
      </c>
      <c r="F459" s="2">
        <f t="shared" si="22"/>
        <v>18</v>
      </c>
      <c r="G459" s="3">
        <f t="shared" si="20"/>
        <v>26.978962389311043</v>
      </c>
      <c r="H459" t="str">
        <f t="shared" si="21"/>
        <v>2026-06</v>
      </c>
      <c r="I459">
        <v>3</v>
      </c>
    </row>
    <row r="460" spans="1:9" x14ac:dyDescent="0.25">
      <c r="A460" t="s">
        <v>465</v>
      </c>
      <c r="B460">
        <v>24114.25</v>
      </c>
      <c r="C460">
        <v>24114.75</v>
      </c>
      <c r="D460">
        <v>24079.05</v>
      </c>
      <c r="E460">
        <v>24083.1</v>
      </c>
      <c r="F460" s="2">
        <f t="shared" si="22"/>
        <v>35.700000000000728</v>
      </c>
      <c r="G460" s="3">
        <f t="shared" si="20"/>
        <v>27.601893647217448</v>
      </c>
      <c r="H460" t="str">
        <f t="shared" si="21"/>
        <v>2026-06</v>
      </c>
      <c r="I460">
        <v>3</v>
      </c>
    </row>
    <row r="461" spans="1:9" x14ac:dyDescent="0.25">
      <c r="A461" t="s">
        <v>466</v>
      </c>
      <c r="B461">
        <v>24082.5</v>
      </c>
      <c r="C461">
        <v>24083.4</v>
      </c>
      <c r="D461">
        <v>23972.2</v>
      </c>
      <c r="E461">
        <v>23982.65</v>
      </c>
      <c r="F461" s="2">
        <f t="shared" si="22"/>
        <v>111.20000000000073</v>
      </c>
      <c r="G461" s="3">
        <f t="shared" si="20"/>
        <v>33.573186958130542</v>
      </c>
      <c r="H461" t="str">
        <f t="shared" si="21"/>
        <v>2026-06</v>
      </c>
      <c r="I461">
        <v>3</v>
      </c>
    </row>
    <row r="462" spans="1:9" x14ac:dyDescent="0.25">
      <c r="A462" t="s">
        <v>467</v>
      </c>
      <c r="B462">
        <v>23982.6</v>
      </c>
      <c r="C462">
        <v>23990.9</v>
      </c>
      <c r="D462">
        <v>23953.599999999999</v>
      </c>
      <c r="E462">
        <v>23965</v>
      </c>
      <c r="F462" s="2">
        <f t="shared" si="22"/>
        <v>37.30000000000291</v>
      </c>
      <c r="G462" s="3">
        <f t="shared" si="20"/>
        <v>33.839387889692851</v>
      </c>
      <c r="H462" t="str">
        <f t="shared" si="21"/>
        <v>2026-06</v>
      </c>
      <c r="I462">
        <v>3</v>
      </c>
    </row>
    <row r="463" spans="1:9" x14ac:dyDescent="0.25">
      <c r="A463" t="s">
        <v>468</v>
      </c>
      <c r="B463">
        <v>23965.95</v>
      </c>
      <c r="C463">
        <v>23973.25</v>
      </c>
      <c r="D463">
        <v>23917.3</v>
      </c>
      <c r="E463">
        <v>23948.85</v>
      </c>
      <c r="F463" s="2">
        <f t="shared" si="22"/>
        <v>55.950000000000728</v>
      </c>
      <c r="G463" s="3">
        <f t="shared" si="20"/>
        <v>35.418717326143415</v>
      </c>
      <c r="H463" t="str">
        <f t="shared" si="21"/>
        <v>2026-06</v>
      </c>
      <c r="I463">
        <v>3</v>
      </c>
    </row>
    <row r="464" spans="1:9" x14ac:dyDescent="0.25">
      <c r="A464" t="s">
        <v>469</v>
      </c>
      <c r="B464">
        <v>23949.65</v>
      </c>
      <c r="C464">
        <v>23958.95</v>
      </c>
      <c r="D464">
        <v>23931.9</v>
      </c>
      <c r="E464">
        <v>23948.45</v>
      </c>
      <c r="F464" s="2">
        <f t="shared" si="22"/>
        <v>27.049999999999272</v>
      </c>
      <c r="G464" s="3">
        <f t="shared" ref="G464:G527" si="23">(G463*13+F464)/14</f>
        <v>34.820951802847404</v>
      </c>
      <c r="H464" t="str">
        <f t="shared" si="21"/>
        <v>2026-06</v>
      </c>
      <c r="I464">
        <v>3</v>
      </c>
    </row>
    <row r="465" spans="1:9" x14ac:dyDescent="0.25">
      <c r="A465" t="s">
        <v>470</v>
      </c>
      <c r="B465">
        <v>23949.200000000001</v>
      </c>
      <c r="C465">
        <v>23950.7</v>
      </c>
      <c r="D465">
        <v>23923.599999999999</v>
      </c>
      <c r="E465">
        <v>23930.5</v>
      </c>
      <c r="F465" s="2">
        <f t="shared" si="22"/>
        <v>27.100000000002183</v>
      </c>
      <c r="G465" s="3">
        <f t="shared" si="23"/>
        <v>34.269455245501312</v>
      </c>
      <c r="H465" t="str">
        <f t="shared" si="21"/>
        <v>2026-06</v>
      </c>
      <c r="I465">
        <v>3</v>
      </c>
    </row>
    <row r="466" spans="1:9" x14ac:dyDescent="0.25">
      <c r="A466" t="s">
        <v>471</v>
      </c>
      <c r="B466">
        <v>23930.65</v>
      </c>
      <c r="C466">
        <v>23937.8</v>
      </c>
      <c r="D466">
        <v>23908.85</v>
      </c>
      <c r="E466">
        <v>23922.6</v>
      </c>
      <c r="F466" s="2">
        <f t="shared" si="22"/>
        <v>28.950000000000728</v>
      </c>
      <c r="G466" s="3">
        <f t="shared" si="23"/>
        <v>33.889494156536983</v>
      </c>
      <c r="H466" t="str">
        <f t="shared" si="21"/>
        <v>2026-06</v>
      </c>
      <c r="I466">
        <v>3</v>
      </c>
    </row>
    <row r="467" spans="1:9" x14ac:dyDescent="0.25">
      <c r="A467" t="s">
        <v>472</v>
      </c>
      <c r="B467">
        <v>23923.8</v>
      </c>
      <c r="C467">
        <v>23931.35</v>
      </c>
      <c r="D467">
        <v>23902.25</v>
      </c>
      <c r="E467">
        <v>23907.4</v>
      </c>
      <c r="F467" s="2">
        <f t="shared" si="22"/>
        <v>29.099999999998545</v>
      </c>
      <c r="G467" s="3">
        <f t="shared" si="23"/>
        <v>33.547387431069957</v>
      </c>
      <c r="H467" t="str">
        <f t="shared" si="21"/>
        <v>2026-06</v>
      </c>
      <c r="I467">
        <v>3</v>
      </c>
    </row>
    <row r="468" spans="1:9" x14ac:dyDescent="0.25">
      <c r="A468" t="s">
        <v>473</v>
      </c>
      <c r="B468">
        <v>23908.35</v>
      </c>
      <c r="C468">
        <v>23910.35</v>
      </c>
      <c r="D468">
        <v>23862.65</v>
      </c>
      <c r="E468">
        <v>23893.200000000001</v>
      </c>
      <c r="F468" s="2">
        <f t="shared" si="22"/>
        <v>47.69999999999709</v>
      </c>
      <c r="G468" s="3">
        <f t="shared" si="23"/>
        <v>34.558288328850466</v>
      </c>
      <c r="H468" t="str">
        <f t="shared" si="21"/>
        <v>2026-06</v>
      </c>
      <c r="I468">
        <v>3</v>
      </c>
    </row>
    <row r="469" spans="1:9" x14ac:dyDescent="0.25">
      <c r="A469" t="s">
        <v>474</v>
      </c>
      <c r="B469">
        <v>23893.85</v>
      </c>
      <c r="C469">
        <v>23898.3</v>
      </c>
      <c r="D469">
        <v>23864.25</v>
      </c>
      <c r="E469">
        <v>23869.15</v>
      </c>
      <c r="F469" s="2">
        <f t="shared" si="22"/>
        <v>34.049999999999272</v>
      </c>
      <c r="G469" s="3">
        <f t="shared" si="23"/>
        <v>34.521982019646813</v>
      </c>
      <c r="H469" t="str">
        <f t="shared" si="21"/>
        <v>2026-06</v>
      </c>
      <c r="I469">
        <v>3</v>
      </c>
    </row>
    <row r="470" spans="1:9" x14ac:dyDescent="0.25">
      <c r="A470" t="s">
        <v>475</v>
      </c>
      <c r="B470">
        <v>23870.15</v>
      </c>
      <c r="C470">
        <v>23916.95</v>
      </c>
      <c r="D470">
        <v>23864.3</v>
      </c>
      <c r="E470">
        <v>23910.85</v>
      </c>
      <c r="F470" s="2">
        <f t="shared" si="22"/>
        <v>52.650000000001455</v>
      </c>
      <c r="G470" s="3">
        <f t="shared" si="23"/>
        <v>35.816840446815</v>
      </c>
      <c r="H470" t="str">
        <f t="shared" si="21"/>
        <v>2026-06</v>
      </c>
      <c r="I470">
        <v>3</v>
      </c>
    </row>
    <row r="471" spans="1:9" x14ac:dyDescent="0.25">
      <c r="A471" t="s">
        <v>476</v>
      </c>
      <c r="B471">
        <v>23912.55</v>
      </c>
      <c r="C471">
        <v>23921.15</v>
      </c>
      <c r="D471">
        <v>23893.599999999999</v>
      </c>
      <c r="E471">
        <v>23915.8</v>
      </c>
      <c r="F471" s="2">
        <f t="shared" si="22"/>
        <v>27.55000000000291</v>
      </c>
      <c r="G471" s="3">
        <f t="shared" si="23"/>
        <v>35.226351843471278</v>
      </c>
      <c r="H471" t="str">
        <f t="shared" si="21"/>
        <v>2026-06</v>
      </c>
      <c r="I471">
        <v>3</v>
      </c>
    </row>
    <row r="472" spans="1:9" x14ac:dyDescent="0.25">
      <c r="A472" t="s">
        <v>477</v>
      </c>
      <c r="B472">
        <v>23916.95</v>
      </c>
      <c r="C472">
        <v>23934.05</v>
      </c>
      <c r="D472">
        <v>23897.15</v>
      </c>
      <c r="E472">
        <v>23927.25</v>
      </c>
      <c r="F472" s="2">
        <f t="shared" si="22"/>
        <v>36.899999999997817</v>
      </c>
      <c r="G472" s="3">
        <f t="shared" si="23"/>
        <v>35.345898140366032</v>
      </c>
      <c r="H472" t="str">
        <f t="shared" si="21"/>
        <v>2026-06</v>
      </c>
      <c r="I472">
        <v>3</v>
      </c>
    </row>
    <row r="473" spans="1:9" x14ac:dyDescent="0.25">
      <c r="A473" t="s">
        <v>478</v>
      </c>
      <c r="B473">
        <v>23927.85</v>
      </c>
      <c r="C473">
        <v>23935.200000000001</v>
      </c>
      <c r="D473">
        <v>23907.5</v>
      </c>
      <c r="E473">
        <v>23914.3</v>
      </c>
      <c r="F473" s="2">
        <f t="shared" si="22"/>
        <v>27.700000000000728</v>
      </c>
      <c r="G473" s="3">
        <f t="shared" si="23"/>
        <v>34.799762558911368</v>
      </c>
      <c r="H473" t="str">
        <f t="shared" si="21"/>
        <v>2026-06</v>
      </c>
      <c r="I473">
        <v>3</v>
      </c>
    </row>
    <row r="474" spans="1:9" x14ac:dyDescent="0.25">
      <c r="A474" t="s">
        <v>479</v>
      </c>
      <c r="B474">
        <v>23916.35</v>
      </c>
      <c r="C474">
        <v>23919.1</v>
      </c>
      <c r="D474">
        <v>23815.599999999999</v>
      </c>
      <c r="E474">
        <v>23827.7</v>
      </c>
      <c r="F474" s="2">
        <f t="shared" si="22"/>
        <v>103.5</v>
      </c>
      <c r="G474" s="3">
        <f t="shared" si="23"/>
        <v>39.706922376131992</v>
      </c>
      <c r="H474" t="str">
        <f t="shared" si="21"/>
        <v>2026-06</v>
      </c>
      <c r="I474">
        <v>3</v>
      </c>
    </row>
    <row r="475" spans="1:9" x14ac:dyDescent="0.25">
      <c r="A475" t="s">
        <v>480</v>
      </c>
      <c r="B475">
        <v>23828.7</v>
      </c>
      <c r="C475">
        <v>23829.5</v>
      </c>
      <c r="D475">
        <v>23784.95</v>
      </c>
      <c r="E475">
        <v>23795.25</v>
      </c>
      <c r="F475" s="2">
        <f t="shared" si="22"/>
        <v>44.549999999999272</v>
      </c>
      <c r="G475" s="3">
        <f t="shared" si="23"/>
        <v>40.052856492122508</v>
      </c>
      <c r="H475" t="str">
        <f t="shared" si="21"/>
        <v>2026-06</v>
      </c>
      <c r="I475">
        <v>3</v>
      </c>
    </row>
    <row r="476" spans="1:9" x14ac:dyDescent="0.25">
      <c r="A476" t="s">
        <v>481</v>
      </c>
      <c r="B476">
        <v>23795.75</v>
      </c>
      <c r="C476">
        <v>23885.3</v>
      </c>
      <c r="D476">
        <v>23789.25</v>
      </c>
      <c r="E476">
        <v>23879.4</v>
      </c>
      <c r="F476" s="2">
        <f t="shared" si="22"/>
        <v>96.049999999999272</v>
      </c>
      <c r="G476" s="3">
        <f t="shared" si="23"/>
        <v>44.052652456970847</v>
      </c>
      <c r="H476" t="str">
        <f t="shared" si="21"/>
        <v>2026-06</v>
      </c>
      <c r="I476">
        <v>3</v>
      </c>
    </row>
    <row r="477" spans="1:9" x14ac:dyDescent="0.25">
      <c r="A477" t="s">
        <v>482</v>
      </c>
      <c r="B477">
        <v>23879.65</v>
      </c>
      <c r="C477">
        <v>23895.3</v>
      </c>
      <c r="D477">
        <v>23861.5</v>
      </c>
      <c r="E477">
        <v>23867.4</v>
      </c>
      <c r="F477" s="2">
        <f t="shared" si="22"/>
        <v>33.799999999999272</v>
      </c>
      <c r="G477" s="3">
        <f t="shared" si="23"/>
        <v>43.320320138615735</v>
      </c>
      <c r="H477" t="str">
        <f t="shared" si="21"/>
        <v>2026-06</v>
      </c>
      <c r="I477">
        <v>3</v>
      </c>
    </row>
    <row r="478" spans="1:9" x14ac:dyDescent="0.25">
      <c r="A478" t="s">
        <v>483</v>
      </c>
      <c r="B478">
        <v>23866.85</v>
      </c>
      <c r="C478">
        <v>23873.75</v>
      </c>
      <c r="D478">
        <v>23810.65</v>
      </c>
      <c r="E478">
        <v>23841.65</v>
      </c>
      <c r="F478" s="2">
        <f t="shared" si="22"/>
        <v>63.099999999998545</v>
      </c>
      <c r="G478" s="3">
        <f t="shared" si="23"/>
        <v>44.733154414428789</v>
      </c>
      <c r="H478" t="str">
        <f t="shared" si="21"/>
        <v>2026-06</v>
      </c>
      <c r="I478">
        <v>3</v>
      </c>
    </row>
    <row r="479" spans="1:9" x14ac:dyDescent="0.25">
      <c r="A479" t="s">
        <v>484</v>
      </c>
      <c r="B479">
        <v>23841.75</v>
      </c>
      <c r="C479">
        <v>23919.200000000001</v>
      </c>
      <c r="D479">
        <v>23841.75</v>
      </c>
      <c r="E479">
        <v>23917.85</v>
      </c>
      <c r="F479" s="2">
        <f t="shared" si="22"/>
        <v>77.549999999999272</v>
      </c>
      <c r="G479" s="3">
        <f t="shared" si="23"/>
        <v>47.077214813398108</v>
      </c>
      <c r="H479" t="str">
        <f t="shared" si="21"/>
        <v>2026-06</v>
      </c>
      <c r="I479">
        <v>3</v>
      </c>
    </row>
    <row r="480" spans="1:9" x14ac:dyDescent="0.25">
      <c r="A480" t="s">
        <v>485</v>
      </c>
      <c r="B480">
        <v>23917.75</v>
      </c>
      <c r="C480">
        <v>23970.3</v>
      </c>
      <c r="D480">
        <v>23910.9</v>
      </c>
      <c r="E480">
        <v>23947.75</v>
      </c>
      <c r="F480" s="2">
        <f t="shared" si="22"/>
        <v>59.399999999997817</v>
      </c>
      <c r="G480" s="3">
        <f t="shared" si="23"/>
        <v>47.957413755298084</v>
      </c>
      <c r="H480" t="str">
        <f t="shared" si="21"/>
        <v>2026-06</v>
      </c>
      <c r="I480">
        <v>3</v>
      </c>
    </row>
    <row r="481" spans="1:9" x14ac:dyDescent="0.25">
      <c r="A481" t="s">
        <v>486</v>
      </c>
      <c r="B481">
        <v>23950.05</v>
      </c>
      <c r="C481">
        <v>23961.9</v>
      </c>
      <c r="D481">
        <v>23932.15</v>
      </c>
      <c r="E481">
        <v>23934.3</v>
      </c>
      <c r="F481" s="2">
        <f t="shared" si="22"/>
        <v>29.75</v>
      </c>
      <c r="G481" s="3">
        <f t="shared" si="23"/>
        <v>46.656884201348227</v>
      </c>
      <c r="H481" t="str">
        <f t="shared" si="21"/>
        <v>2026-06</v>
      </c>
      <c r="I481">
        <v>3</v>
      </c>
    </row>
    <row r="482" spans="1:9" x14ac:dyDescent="0.25">
      <c r="A482" t="s">
        <v>487</v>
      </c>
      <c r="B482">
        <v>23933.8</v>
      </c>
      <c r="C482">
        <v>23960.400000000001</v>
      </c>
      <c r="D482">
        <v>23932.85</v>
      </c>
      <c r="E482">
        <v>23952.45</v>
      </c>
      <c r="F482" s="2">
        <f t="shared" si="22"/>
        <v>27.55000000000291</v>
      </c>
      <c r="G482" s="3">
        <f t="shared" si="23"/>
        <v>45.292106758394993</v>
      </c>
      <c r="H482" t="str">
        <f t="shared" si="21"/>
        <v>2026-06</v>
      </c>
      <c r="I482">
        <v>3</v>
      </c>
    </row>
    <row r="483" spans="1:9" x14ac:dyDescent="0.25">
      <c r="A483" t="s">
        <v>488</v>
      </c>
      <c r="B483">
        <v>23952</v>
      </c>
      <c r="C483">
        <v>23991.599999999999</v>
      </c>
      <c r="D483">
        <v>23952</v>
      </c>
      <c r="E483">
        <v>23985.85</v>
      </c>
      <c r="F483" s="2">
        <f t="shared" si="22"/>
        <v>39.599999999998545</v>
      </c>
      <c r="G483" s="3">
        <f t="shared" si="23"/>
        <v>44.885527704223819</v>
      </c>
      <c r="H483" t="str">
        <f t="shared" si="21"/>
        <v>2026-06</v>
      </c>
      <c r="I483">
        <v>3</v>
      </c>
    </row>
    <row r="484" spans="1:9" x14ac:dyDescent="0.25">
      <c r="A484" t="s">
        <v>489</v>
      </c>
      <c r="B484">
        <v>23986.05</v>
      </c>
      <c r="C484">
        <v>23988.9</v>
      </c>
      <c r="D484">
        <v>23967.1</v>
      </c>
      <c r="E484">
        <v>23974.95</v>
      </c>
      <c r="F484" s="2">
        <f t="shared" si="22"/>
        <v>21.80000000000291</v>
      </c>
      <c r="G484" s="3">
        <f t="shared" si="23"/>
        <v>43.23656143963661</v>
      </c>
      <c r="H484" t="str">
        <f t="shared" si="21"/>
        <v>2026-06</v>
      </c>
      <c r="I484">
        <v>3</v>
      </c>
    </row>
    <row r="485" spans="1:9" x14ac:dyDescent="0.25">
      <c r="A485" t="s">
        <v>490</v>
      </c>
      <c r="B485">
        <v>23976.05</v>
      </c>
      <c r="C485">
        <v>24007.9</v>
      </c>
      <c r="D485">
        <v>23958</v>
      </c>
      <c r="E485">
        <v>24006.9</v>
      </c>
      <c r="F485" s="2">
        <f t="shared" si="22"/>
        <v>49.900000000001455</v>
      </c>
      <c r="G485" s="3">
        <f t="shared" si="23"/>
        <v>43.71252133680553</v>
      </c>
      <c r="H485" t="str">
        <f t="shared" si="21"/>
        <v>2026-06</v>
      </c>
      <c r="I485">
        <v>3</v>
      </c>
    </row>
    <row r="486" spans="1:9" x14ac:dyDescent="0.25">
      <c r="A486" t="s">
        <v>491</v>
      </c>
      <c r="B486">
        <v>24006.45</v>
      </c>
      <c r="C486">
        <v>24013.85</v>
      </c>
      <c r="D486">
        <v>23994.95</v>
      </c>
      <c r="E486">
        <v>23996.9</v>
      </c>
      <c r="F486" s="2">
        <f t="shared" si="22"/>
        <v>18.899999999997817</v>
      </c>
      <c r="G486" s="3">
        <f t="shared" si="23"/>
        <v>41.940198384176412</v>
      </c>
      <c r="H486" t="str">
        <f t="shared" si="21"/>
        <v>2026-06</v>
      </c>
      <c r="I486">
        <v>3</v>
      </c>
    </row>
    <row r="487" spans="1:9" x14ac:dyDescent="0.25">
      <c r="A487" t="s">
        <v>492</v>
      </c>
      <c r="B487">
        <v>23996.55</v>
      </c>
      <c r="C487">
        <v>24008.05</v>
      </c>
      <c r="D487">
        <v>23979</v>
      </c>
      <c r="E487">
        <v>23980.95</v>
      </c>
      <c r="F487" s="2">
        <f t="shared" si="22"/>
        <v>29.049999999999272</v>
      </c>
      <c r="G487" s="3">
        <f t="shared" si="23"/>
        <v>41.019469928163758</v>
      </c>
      <c r="H487" t="str">
        <f t="shared" si="21"/>
        <v>2026-06</v>
      </c>
      <c r="I487">
        <v>3</v>
      </c>
    </row>
    <row r="488" spans="1:9" x14ac:dyDescent="0.25">
      <c r="A488" t="s">
        <v>493</v>
      </c>
      <c r="B488">
        <v>23982.25</v>
      </c>
      <c r="C488">
        <v>24007.200000000001</v>
      </c>
      <c r="D488">
        <v>23981</v>
      </c>
      <c r="E488">
        <v>23995.65</v>
      </c>
      <c r="F488" s="2">
        <f t="shared" si="22"/>
        <v>26.25</v>
      </c>
      <c r="G488" s="3">
        <f t="shared" si="23"/>
        <v>39.964507790437779</v>
      </c>
      <c r="H488" t="str">
        <f t="shared" si="21"/>
        <v>2026-06</v>
      </c>
      <c r="I488">
        <v>3</v>
      </c>
    </row>
    <row r="489" spans="1:9" x14ac:dyDescent="0.25">
      <c r="A489" t="s">
        <v>494</v>
      </c>
      <c r="B489">
        <v>23995.7</v>
      </c>
      <c r="C489">
        <v>23997.3</v>
      </c>
      <c r="D489">
        <v>23967</v>
      </c>
      <c r="E489">
        <v>23991.35</v>
      </c>
      <c r="F489" s="2">
        <f t="shared" si="22"/>
        <v>30.299999999999272</v>
      </c>
      <c r="G489" s="3">
        <f t="shared" si="23"/>
        <v>39.274185805406454</v>
      </c>
      <c r="H489" t="str">
        <f t="shared" si="21"/>
        <v>2026-06</v>
      </c>
      <c r="I489">
        <v>3</v>
      </c>
    </row>
    <row r="490" spans="1:9" x14ac:dyDescent="0.25">
      <c r="A490" t="s">
        <v>495</v>
      </c>
      <c r="B490">
        <v>23992.85</v>
      </c>
      <c r="C490">
        <v>24012.6</v>
      </c>
      <c r="D490">
        <v>23979.15</v>
      </c>
      <c r="E490">
        <v>24004.35</v>
      </c>
      <c r="F490" s="2">
        <f t="shared" si="22"/>
        <v>33.44999999999709</v>
      </c>
      <c r="G490" s="3">
        <f t="shared" si="23"/>
        <v>38.858172533591492</v>
      </c>
      <c r="H490" t="str">
        <f t="shared" si="21"/>
        <v>2026-06</v>
      </c>
      <c r="I490">
        <v>3</v>
      </c>
    </row>
    <row r="491" spans="1:9" x14ac:dyDescent="0.25">
      <c r="A491" t="s">
        <v>496</v>
      </c>
      <c r="B491">
        <v>24005.4</v>
      </c>
      <c r="C491">
        <v>24032.85</v>
      </c>
      <c r="D491">
        <v>23994.1</v>
      </c>
      <c r="E491">
        <v>24031.1</v>
      </c>
      <c r="F491" s="2">
        <f t="shared" si="22"/>
        <v>38.75</v>
      </c>
      <c r="G491" s="3">
        <f t="shared" si="23"/>
        <v>38.850445924049247</v>
      </c>
      <c r="H491" t="str">
        <f t="shared" si="21"/>
        <v>2026-06</v>
      </c>
      <c r="I491">
        <v>3</v>
      </c>
    </row>
    <row r="492" spans="1:9" x14ac:dyDescent="0.25">
      <c r="A492" t="s">
        <v>497</v>
      </c>
      <c r="B492">
        <v>24030.5</v>
      </c>
      <c r="C492">
        <v>24056.1</v>
      </c>
      <c r="D492">
        <v>24028.15</v>
      </c>
      <c r="E492">
        <v>24052.45</v>
      </c>
      <c r="F492" s="2">
        <f t="shared" si="22"/>
        <v>27.94999999999709</v>
      </c>
      <c r="G492" s="3">
        <f t="shared" si="23"/>
        <v>38.071842643759801</v>
      </c>
      <c r="H492" t="str">
        <f t="shared" si="21"/>
        <v>2026-06</v>
      </c>
      <c r="I492">
        <v>3</v>
      </c>
    </row>
    <row r="493" spans="1:9" x14ac:dyDescent="0.25">
      <c r="A493" t="s">
        <v>498</v>
      </c>
      <c r="B493">
        <v>24052.85</v>
      </c>
      <c r="C493">
        <v>24090.05</v>
      </c>
      <c r="D493">
        <v>24051.55</v>
      </c>
      <c r="E493">
        <v>24071.5</v>
      </c>
      <c r="F493" s="2">
        <f t="shared" si="22"/>
        <v>38.5</v>
      </c>
      <c r="G493" s="3">
        <f t="shared" si="23"/>
        <v>38.102425312062678</v>
      </c>
      <c r="H493" t="str">
        <f t="shared" si="21"/>
        <v>2026-06</v>
      </c>
      <c r="I493">
        <v>3</v>
      </c>
    </row>
    <row r="494" spans="1:9" x14ac:dyDescent="0.25">
      <c r="A494" t="s">
        <v>499</v>
      </c>
      <c r="B494">
        <v>24071.85</v>
      </c>
      <c r="C494">
        <v>24085.85</v>
      </c>
      <c r="D494">
        <v>24047.45</v>
      </c>
      <c r="E494">
        <v>24055.8</v>
      </c>
      <c r="F494" s="2">
        <f t="shared" si="22"/>
        <v>38.399999999997817</v>
      </c>
      <c r="G494" s="3">
        <f t="shared" si="23"/>
        <v>38.12368064691519</v>
      </c>
      <c r="H494" t="str">
        <f t="shared" si="21"/>
        <v>2026-06</v>
      </c>
      <c r="I494">
        <v>3</v>
      </c>
    </row>
    <row r="495" spans="1:9" x14ac:dyDescent="0.25">
      <c r="A495" t="s">
        <v>500</v>
      </c>
      <c r="B495">
        <v>24055.65</v>
      </c>
      <c r="C495">
        <v>24059.45</v>
      </c>
      <c r="D495">
        <v>24026.5</v>
      </c>
      <c r="E495">
        <v>24056.65</v>
      </c>
      <c r="F495" s="2">
        <f t="shared" si="22"/>
        <v>32.950000000000728</v>
      </c>
      <c r="G495" s="3">
        <f t="shared" si="23"/>
        <v>37.754132029278445</v>
      </c>
      <c r="H495" t="str">
        <f t="shared" si="21"/>
        <v>2026-06</v>
      </c>
      <c r="I495">
        <v>3</v>
      </c>
    </row>
    <row r="496" spans="1:9" x14ac:dyDescent="0.25">
      <c r="A496" t="s">
        <v>501</v>
      </c>
      <c r="B496">
        <v>24056.75</v>
      </c>
      <c r="C496">
        <v>24063.75</v>
      </c>
      <c r="D496">
        <v>24043.9</v>
      </c>
      <c r="E496">
        <v>24054.85</v>
      </c>
      <c r="F496" s="2">
        <f t="shared" si="22"/>
        <v>19.849999999998545</v>
      </c>
      <c r="G496" s="3">
        <f t="shared" si="23"/>
        <v>36.475265455758453</v>
      </c>
      <c r="H496" t="str">
        <f t="shared" si="21"/>
        <v>2026-06</v>
      </c>
      <c r="I496">
        <v>3</v>
      </c>
    </row>
    <row r="497" spans="1:9" x14ac:dyDescent="0.25">
      <c r="A497" t="s">
        <v>502</v>
      </c>
      <c r="B497">
        <v>24054.799999999999</v>
      </c>
      <c r="C497">
        <v>24061.25</v>
      </c>
      <c r="D497">
        <v>24034.95</v>
      </c>
      <c r="E497">
        <v>24053.1</v>
      </c>
      <c r="F497" s="2">
        <f t="shared" si="22"/>
        <v>26.299999999999272</v>
      </c>
      <c r="G497" s="3">
        <f t="shared" si="23"/>
        <v>35.748460780347081</v>
      </c>
      <c r="H497" t="str">
        <f t="shared" si="21"/>
        <v>2026-06</v>
      </c>
      <c r="I497">
        <v>3</v>
      </c>
    </row>
    <row r="498" spans="1:9" x14ac:dyDescent="0.25">
      <c r="A498" t="s">
        <v>503</v>
      </c>
      <c r="B498">
        <v>24053.65</v>
      </c>
      <c r="C498">
        <v>24068.75</v>
      </c>
      <c r="D498">
        <v>24037.85</v>
      </c>
      <c r="E498">
        <v>24050.75</v>
      </c>
      <c r="F498" s="2">
        <f t="shared" si="22"/>
        <v>30.900000000001455</v>
      </c>
      <c r="G498" s="3">
        <f t="shared" si="23"/>
        <v>35.402142153179533</v>
      </c>
      <c r="H498" t="str">
        <f t="shared" si="21"/>
        <v>2026-06</v>
      </c>
      <c r="I498">
        <v>3</v>
      </c>
    </row>
    <row r="499" spans="1:9" x14ac:dyDescent="0.25">
      <c r="A499" t="s">
        <v>504</v>
      </c>
      <c r="B499">
        <v>24050.85</v>
      </c>
      <c r="C499">
        <v>24050.85</v>
      </c>
      <c r="D499">
        <v>24003.25</v>
      </c>
      <c r="E499">
        <v>24006.45</v>
      </c>
      <c r="F499" s="2">
        <f t="shared" si="22"/>
        <v>47.599999999998545</v>
      </c>
      <c r="G499" s="3">
        <f t="shared" si="23"/>
        <v>36.273417713666603</v>
      </c>
      <c r="H499" t="str">
        <f t="shared" si="21"/>
        <v>2026-06</v>
      </c>
      <c r="I499">
        <v>3</v>
      </c>
    </row>
    <row r="500" spans="1:9" x14ac:dyDescent="0.25">
      <c r="A500" t="s">
        <v>505</v>
      </c>
      <c r="B500">
        <v>24006</v>
      </c>
      <c r="C500">
        <v>24031.45</v>
      </c>
      <c r="D500">
        <v>24003.599999999999</v>
      </c>
      <c r="E500">
        <v>24013.15</v>
      </c>
      <c r="F500" s="2">
        <f t="shared" si="22"/>
        <v>27.850000000002183</v>
      </c>
      <c r="G500" s="3">
        <f t="shared" si="23"/>
        <v>35.67174501983343</v>
      </c>
      <c r="H500" t="str">
        <f t="shared" si="21"/>
        <v>2026-06</v>
      </c>
      <c r="I500">
        <v>3</v>
      </c>
    </row>
    <row r="501" spans="1:9" x14ac:dyDescent="0.25">
      <c r="A501" t="s">
        <v>506</v>
      </c>
      <c r="B501">
        <v>24136.1</v>
      </c>
      <c r="C501">
        <v>24169.7</v>
      </c>
      <c r="D501">
        <v>24107.8</v>
      </c>
      <c r="E501">
        <v>24147.1</v>
      </c>
      <c r="F501" s="2">
        <f t="shared" si="22"/>
        <v>156.54999999999927</v>
      </c>
      <c r="G501" s="3">
        <f t="shared" si="23"/>
        <v>44.30590608984528</v>
      </c>
      <c r="H501" t="str">
        <f t="shared" si="21"/>
        <v>2026-06</v>
      </c>
      <c r="I501">
        <v>3</v>
      </c>
    </row>
    <row r="502" spans="1:9" x14ac:dyDescent="0.25">
      <c r="A502" t="s">
        <v>507</v>
      </c>
      <c r="B502">
        <v>24147.15</v>
      </c>
      <c r="C502">
        <v>24152.15</v>
      </c>
      <c r="D502">
        <v>24130.5</v>
      </c>
      <c r="E502">
        <v>24140.5</v>
      </c>
      <c r="F502" s="2">
        <f t="shared" si="22"/>
        <v>21.650000000001455</v>
      </c>
      <c r="G502" s="3">
        <f t="shared" si="23"/>
        <v>42.687627083427863</v>
      </c>
      <c r="H502" t="str">
        <f t="shared" si="21"/>
        <v>2026-06</v>
      </c>
      <c r="I502">
        <v>3</v>
      </c>
    </row>
    <row r="503" spans="1:9" x14ac:dyDescent="0.25">
      <c r="A503" t="s">
        <v>508</v>
      </c>
      <c r="B503">
        <v>24141.65</v>
      </c>
      <c r="C503">
        <v>24185.35</v>
      </c>
      <c r="D503">
        <v>24140.15</v>
      </c>
      <c r="E503">
        <v>24176.799999999999</v>
      </c>
      <c r="F503" s="2">
        <f t="shared" si="22"/>
        <v>45.19999999999709</v>
      </c>
      <c r="G503" s="3">
        <f t="shared" si="23"/>
        <v>42.867082291754237</v>
      </c>
      <c r="H503" t="str">
        <f t="shared" si="21"/>
        <v>2026-06</v>
      </c>
      <c r="I503">
        <v>3</v>
      </c>
    </row>
    <row r="504" spans="1:9" x14ac:dyDescent="0.25">
      <c r="A504" t="s">
        <v>509</v>
      </c>
      <c r="B504">
        <v>24176.65</v>
      </c>
      <c r="C504">
        <v>24186.05</v>
      </c>
      <c r="D504">
        <v>24160.3</v>
      </c>
      <c r="E504">
        <v>24184.1</v>
      </c>
      <c r="F504" s="2">
        <f t="shared" si="22"/>
        <v>25.75</v>
      </c>
      <c r="G504" s="3">
        <f t="shared" si="23"/>
        <v>41.644433556628933</v>
      </c>
      <c r="H504" t="str">
        <f t="shared" si="21"/>
        <v>2026-06</v>
      </c>
      <c r="I504">
        <v>3</v>
      </c>
    </row>
    <row r="505" spans="1:9" x14ac:dyDescent="0.25">
      <c r="A505" t="s">
        <v>510</v>
      </c>
      <c r="B505">
        <v>24184.5</v>
      </c>
      <c r="C505">
        <v>24190.25</v>
      </c>
      <c r="D505">
        <v>24165.85</v>
      </c>
      <c r="E505">
        <v>24172.3</v>
      </c>
      <c r="F505" s="2">
        <f t="shared" si="22"/>
        <v>24.400000000001455</v>
      </c>
      <c r="G505" s="3">
        <f t="shared" si="23"/>
        <v>40.412688302584115</v>
      </c>
      <c r="H505" t="str">
        <f t="shared" si="21"/>
        <v>2026-06</v>
      </c>
      <c r="I505">
        <v>3</v>
      </c>
    </row>
    <row r="506" spans="1:9" x14ac:dyDescent="0.25">
      <c r="A506" t="s">
        <v>511</v>
      </c>
      <c r="B506">
        <v>24172.1</v>
      </c>
      <c r="C506">
        <v>24185</v>
      </c>
      <c r="D506">
        <v>24166.9</v>
      </c>
      <c r="E506">
        <v>24182.3</v>
      </c>
      <c r="F506" s="2">
        <f t="shared" si="22"/>
        <v>18.099999999998545</v>
      </c>
      <c r="G506" s="3">
        <f t="shared" si="23"/>
        <v>38.818924852399434</v>
      </c>
      <c r="H506" t="str">
        <f t="shared" si="21"/>
        <v>2026-06</v>
      </c>
      <c r="I506">
        <v>3</v>
      </c>
    </row>
    <row r="507" spans="1:9" x14ac:dyDescent="0.25">
      <c r="A507" t="s">
        <v>512</v>
      </c>
      <c r="B507">
        <v>24182.799999999999</v>
      </c>
      <c r="C507">
        <v>24200.55</v>
      </c>
      <c r="D507">
        <v>24177</v>
      </c>
      <c r="E507">
        <v>24197.3</v>
      </c>
      <c r="F507" s="2">
        <f t="shared" si="22"/>
        <v>23.549999999999272</v>
      </c>
      <c r="G507" s="3">
        <f t="shared" si="23"/>
        <v>37.728287362942282</v>
      </c>
      <c r="H507" t="str">
        <f t="shared" si="21"/>
        <v>2026-06</v>
      </c>
      <c r="I507">
        <v>3</v>
      </c>
    </row>
    <row r="508" spans="1:9" x14ac:dyDescent="0.25">
      <c r="A508" t="s">
        <v>513</v>
      </c>
      <c r="B508">
        <v>24197.599999999999</v>
      </c>
      <c r="C508">
        <v>24200.35</v>
      </c>
      <c r="D508">
        <v>24175.3</v>
      </c>
      <c r="E508">
        <v>24195.9</v>
      </c>
      <c r="F508" s="2">
        <f t="shared" si="22"/>
        <v>25.049999999999272</v>
      </c>
      <c r="G508" s="3">
        <f t="shared" si="23"/>
        <v>36.822695408446357</v>
      </c>
      <c r="H508" t="str">
        <f t="shared" si="21"/>
        <v>2026-06</v>
      </c>
      <c r="I508">
        <v>3</v>
      </c>
    </row>
    <row r="509" spans="1:9" x14ac:dyDescent="0.25">
      <c r="A509" t="s">
        <v>514</v>
      </c>
      <c r="B509">
        <v>24196.05</v>
      </c>
      <c r="C509">
        <v>24205.65</v>
      </c>
      <c r="D509">
        <v>24186.5</v>
      </c>
      <c r="E509">
        <v>24190.55</v>
      </c>
      <c r="F509" s="2">
        <f t="shared" si="22"/>
        <v>19.150000000001455</v>
      </c>
      <c r="G509" s="3">
        <f t="shared" si="23"/>
        <v>35.560360022128869</v>
      </c>
      <c r="H509" t="str">
        <f t="shared" si="21"/>
        <v>2026-06</v>
      </c>
      <c r="I509">
        <v>3</v>
      </c>
    </row>
    <row r="510" spans="1:9" x14ac:dyDescent="0.25">
      <c r="A510" t="s">
        <v>515</v>
      </c>
      <c r="B510">
        <v>24191.05</v>
      </c>
      <c r="C510">
        <v>24200.25</v>
      </c>
      <c r="D510">
        <v>24181.05</v>
      </c>
      <c r="E510">
        <v>24195.9</v>
      </c>
      <c r="F510" s="2">
        <f t="shared" si="22"/>
        <v>19.200000000000728</v>
      </c>
      <c r="G510" s="3">
        <f t="shared" si="23"/>
        <v>34.391762877691143</v>
      </c>
      <c r="H510" t="str">
        <f t="shared" si="21"/>
        <v>2026-06</v>
      </c>
      <c r="I510">
        <v>3</v>
      </c>
    </row>
    <row r="511" spans="1:9" x14ac:dyDescent="0.25">
      <c r="A511" t="s">
        <v>516</v>
      </c>
      <c r="B511">
        <v>24195.599999999999</v>
      </c>
      <c r="C511">
        <v>24238.75</v>
      </c>
      <c r="D511">
        <v>24193.3</v>
      </c>
      <c r="E511">
        <v>24236.2</v>
      </c>
      <c r="F511" s="2">
        <f t="shared" si="22"/>
        <v>45.450000000000728</v>
      </c>
      <c r="G511" s="3">
        <f t="shared" si="23"/>
        <v>35.181636957856114</v>
      </c>
      <c r="H511" t="str">
        <f t="shared" si="21"/>
        <v>2026-06</v>
      </c>
      <c r="I511">
        <v>3</v>
      </c>
    </row>
    <row r="512" spans="1:9" x14ac:dyDescent="0.25">
      <c r="A512" t="s">
        <v>517</v>
      </c>
      <c r="B512">
        <v>24236.55</v>
      </c>
      <c r="C512">
        <v>24261.599999999999</v>
      </c>
      <c r="D512">
        <v>24236.15</v>
      </c>
      <c r="E512">
        <v>24243.65</v>
      </c>
      <c r="F512" s="2">
        <f t="shared" si="22"/>
        <v>25.44999999999709</v>
      </c>
      <c r="G512" s="3">
        <f t="shared" si="23"/>
        <v>34.486520032294756</v>
      </c>
      <c r="H512" t="str">
        <f t="shared" si="21"/>
        <v>2026-06</v>
      </c>
      <c r="I512">
        <v>3</v>
      </c>
    </row>
    <row r="513" spans="1:9" x14ac:dyDescent="0.25">
      <c r="A513" t="s">
        <v>518</v>
      </c>
      <c r="B513">
        <v>24243.5</v>
      </c>
      <c r="C513">
        <v>24251.5</v>
      </c>
      <c r="D513">
        <v>24199.3</v>
      </c>
      <c r="E513">
        <v>24202.35</v>
      </c>
      <c r="F513" s="2">
        <f t="shared" si="22"/>
        <v>52.200000000000728</v>
      </c>
      <c r="G513" s="3">
        <f t="shared" si="23"/>
        <v>35.751768601416607</v>
      </c>
      <c r="H513" t="str">
        <f t="shared" si="21"/>
        <v>2026-06</v>
      </c>
      <c r="I513">
        <v>3</v>
      </c>
    </row>
    <row r="514" spans="1:9" x14ac:dyDescent="0.25">
      <c r="A514" t="s">
        <v>519</v>
      </c>
      <c r="B514">
        <v>24201.9</v>
      </c>
      <c r="C514">
        <v>24210.6</v>
      </c>
      <c r="D514">
        <v>24176.85</v>
      </c>
      <c r="E514">
        <v>24193.15</v>
      </c>
      <c r="F514" s="2">
        <f t="shared" si="22"/>
        <v>33.75</v>
      </c>
      <c r="G514" s="3">
        <f t="shared" si="23"/>
        <v>35.608785129886847</v>
      </c>
      <c r="H514" t="str">
        <f t="shared" ref="H514:H577" si="24">LEFT(A514,7)</f>
        <v>2026-06</v>
      </c>
      <c r="I514">
        <v>3</v>
      </c>
    </row>
    <row r="515" spans="1:9" x14ac:dyDescent="0.25">
      <c r="A515" t="s">
        <v>520</v>
      </c>
      <c r="B515">
        <v>24192.85</v>
      </c>
      <c r="C515">
        <v>24202.6</v>
      </c>
      <c r="D515">
        <v>24181.65</v>
      </c>
      <c r="E515">
        <v>24196.9</v>
      </c>
      <c r="F515" s="2">
        <f t="shared" ref="F515:F578" si="25">MAX(C515-D515,ABS(C515-E514),ABS(D515-E514))</f>
        <v>20.94999999999709</v>
      </c>
      <c r="G515" s="3">
        <f t="shared" si="23"/>
        <v>34.561729049180435</v>
      </c>
      <c r="H515" t="str">
        <f t="shared" si="24"/>
        <v>2026-06</v>
      </c>
      <c r="I515">
        <v>3</v>
      </c>
    </row>
    <row r="516" spans="1:9" x14ac:dyDescent="0.25">
      <c r="A516" t="s">
        <v>521</v>
      </c>
      <c r="B516">
        <v>24196.85</v>
      </c>
      <c r="C516">
        <v>24214.5</v>
      </c>
      <c r="D516">
        <v>24169.3</v>
      </c>
      <c r="E516">
        <v>24172.85</v>
      </c>
      <c r="F516" s="2">
        <f t="shared" si="25"/>
        <v>45.200000000000728</v>
      </c>
      <c r="G516" s="3">
        <f t="shared" si="23"/>
        <v>35.321605545667602</v>
      </c>
      <c r="H516" t="str">
        <f t="shared" si="24"/>
        <v>2026-06</v>
      </c>
      <c r="I516">
        <v>3</v>
      </c>
    </row>
    <row r="517" spans="1:9" x14ac:dyDescent="0.25">
      <c r="A517" t="s">
        <v>522</v>
      </c>
      <c r="B517">
        <v>24172.799999999999</v>
      </c>
      <c r="C517">
        <v>24198.7</v>
      </c>
      <c r="D517">
        <v>24170.6</v>
      </c>
      <c r="E517">
        <v>24181.599999999999</v>
      </c>
      <c r="F517" s="2">
        <f t="shared" si="25"/>
        <v>28.100000000002183</v>
      </c>
      <c r="G517" s="3">
        <f t="shared" si="23"/>
        <v>34.805776578120074</v>
      </c>
      <c r="H517" t="str">
        <f t="shared" si="24"/>
        <v>2026-06</v>
      </c>
      <c r="I517">
        <v>3</v>
      </c>
    </row>
    <row r="518" spans="1:9" x14ac:dyDescent="0.25">
      <c r="A518" t="s">
        <v>523</v>
      </c>
      <c r="B518">
        <v>24181.5</v>
      </c>
      <c r="C518">
        <v>24211.200000000001</v>
      </c>
      <c r="D518">
        <v>24173.8</v>
      </c>
      <c r="E518">
        <v>24200.5</v>
      </c>
      <c r="F518" s="2">
        <f t="shared" si="25"/>
        <v>37.400000000001455</v>
      </c>
      <c r="G518" s="3">
        <f t="shared" si="23"/>
        <v>34.991078251111603</v>
      </c>
      <c r="H518" t="str">
        <f t="shared" si="24"/>
        <v>2026-06</v>
      </c>
      <c r="I518">
        <v>3</v>
      </c>
    </row>
    <row r="519" spans="1:9" x14ac:dyDescent="0.25">
      <c r="A519" t="s">
        <v>524</v>
      </c>
      <c r="B519">
        <v>24200.35</v>
      </c>
      <c r="C519">
        <v>24209.45</v>
      </c>
      <c r="D519">
        <v>24173.05</v>
      </c>
      <c r="E519">
        <v>24179.5</v>
      </c>
      <c r="F519" s="2">
        <f t="shared" si="25"/>
        <v>36.400000000001455</v>
      </c>
      <c r="G519" s="3">
        <f t="shared" si="23"/>
        <v>35.091715518889451</v>
      </c>
      <c r="H519" t="str">
        <f t="shared" si="24"/>
        <v>2026-06</v>
      </c>
      <c r="I519">
        <v>3</v>
      </c>
    </row>
    <row r="520" spans="1:9" x14ac:dyDescent="0.25">
      <c r="A520" t="s">
        <v>525</v>
      </c>
      <c r="B520">
        <v>24178.400000000001</v>
      </c>
      <c r="C520">
        <v>24187.85</v>
      </c>
      <c r="D520">
        <v>24130.65</v>
      </c>
      <c r="E520">
        <v>24138.65</v>
      </c>
      <c r="F520" s="2">
        <f t="shared" si="25"/>
        <v>57.19999999999709</v>
      </c>
      <c r="G520" s="3">
        <f t="shared" si="23"/>
        <v>36.670878696111423</v>
      </c>
      <c r="H520" t="str">
        <f t="shared" si="24"/>
        <v>2026-06</v>
      </c>
      <c r="I520">
        <v>3</v>
      </c>
    </row>
    <row r="521" spans="1:9" x14ac:dyDescent="0.25">
      <c r="A521" t="s">
        <v>526</v>
      </c>
      <c r="B521">
        <v>24139.15</v>
      </c>
      <c r="C521">
        <v>24139.35</v>
      </c>
      <c r="D521">
        <v>24088.95</v>
      </c>
      <c r="E521">
        <v>24108</v>
      </c>
      <c r="F521" s="2">
        <f t="shared" si="25"/>
        <v>50.399999999997817</v>
      </c>
      <c r="G521" s="3">
        <f t="shared" si="23"/>
        <v>37.651530217817594</v>
      </c>
      <c r="H521" t="str">
        <f t="shared" si="24"/>
        <v>2026-06</v>
      </c>
      <c r="I521">
        <v>3</v>
      </c>
    </row>
    <row r="522" spans="1:9" x14ac:dyDescent="0.25">
      <c r="A522" t="s">
        <v>527</v>
      </c>
      <c r="B522">
        <v>24108.2</v>
      </c>
      <c r="C522">
        <v>24128.9</v>
      </c>
      <c r="D522">
        <v>24068.85</v>
      </c>
      <c r="E522">
        <v>24071.05</v>
      </c>
      <c r="F522" s="2">
        <f t="shared" si="25"/>
        <v>60.05000000000291</v>
      </c>
      <c r="G522" s="3">
        <f t="shared" si="23"/>
        <v>39.251420916545115</v>
      </c>
      <c r="H522" t="str">
        <f t="shared" si="24"/>
        <v>2026-06</v>
      </c>
      <c r="I522">
        <v>3</v>
      </c>
    </row>
    <row r="523" spans="1:9" x14ac:dyDescent="0.25">
      <c r="A523" t="s">
        <v>528</v>
      </c>
      <c r="B523">
        <v>24072.75</v>
      </c>
      <c r="C523">
        <v>24117.5</v>
      </c>
      <c r="D523">
        <v>24066.55</v>
      </c>
      <c r="E523">
        <v>24090</v>
      </c>
      <c r="F523" s="2">
        <f t="shared" si="25"/>
        <v>50.950000000000728</v>
      </c>
      <c r="G523" s="3">
        <f t="shared" si="23"/>
        <v>40.087033708220517</v>
      </c>
      <c r="H523" t="str">
        <f t="shared" si="24"/>
        <v>2026-06</v>
      </c>
      <c r="I523">
        <v>3</v>
      </c>
    </row>
    <row r="524" spans="1:9" x14ac:dyDescent="0.25">
      <c r="A524" t="s">
        <v>529</v>
      </c>
      <c r="B524">
        <v>24090.400000000001</v>
      </c>
      <c r="C524">
        <v>24091.3</v>
      </c>
      <c r="D524">
        <v>24041.45</v>
      </c>
      <c r="E524">
        <v>24055.3</v>
      </c>
      <c r="F524" s="2">
        <f t="shared" si="25"/>
        <v>49.849999999998545</v>
      </c>
      <c r="G524" s="3">
        <f t="shared" si="23"/>
        <v>40.784388443347517</v>
      </c>
      <c r="H524" t="str">
        <f t="shared" si="24"/>
        <v>2026-06</v>
      </c>
      <c r="I524">
        <v>3</v>
      </c>
    </row>
    <row r="525" spans="1:9" x14ac:dyDescent="0.25">
      <c r="A525" t="s">
        <v>530</v>
      </c>
      <c r="B525">
        <v>24056</v>
      </c>
      <c r="C525">
        <v>24065.5</v>
      </c>
      <c r="D525">
        <v>24039</v>
      </c>
      <c r="E525">
        <v>24052.799999999999</v>
      </c>
      <c r="F525" s="2">
        <f t="shared" si="25"/>
        <v>26.5</v>
      </c>
      <c r="G525" s="3">
        <f t="shared" si="23"/>
        <v>39.764074983108408</v>
      </c>
      <c r="H525" t="str">
        <f t="shared" si="24"/>
        <v>2026-06</v>
      </c>
      <c r="I525">
        <v>3</v>
      </c>
    </row>
    <row r="526" spans="1:9" x14ac:dyDescent="0.25">
      <c r="A526" t="s">
        <v>531</v>
      </c>
      <c r="B526">
        <v>24067.3</v>
      </c>
      <c r="C526">
        <v>24110.75</v>
      </c>
      <c r="D526">
        <v>24032.35</v>
      </c>
      <c r="E526">
        <v>24064.799999999999</v>
      </c>
      <c r="F526" s="2">
        <f t="shared" si="25"/>
        <v>78.400000000001455</v>
      </c>
      <c r="G526" s="3">
        <f t="shared" si="23"/>
        <v>42.523783912886479</v>
      </c>
      <c r="H526" t="str">
        <f t="shared" si="24"/>
        <v>2026-06</v>
      </c>
      <c r="I526">
        <v>3</v>
      </c>
    </row>
    <row r="527" spans="1:9" x14ac:dyDescent="0.25">
      <c r="A527" t="s">
        <v>532</v>
      </c>
      <c r="B527">
        <v>24065.7</v>
      </c>
      <c r="C527">
        <v>24094.7</v>
      </c>
      <c r="D527">
        <v>24005.45</v>
      </c>
      <c r="E527">
        <v>24094</v>
      </c>
      <c r="F527" s="2">
        <f t="shared" si="25"/>
        <v>89.25</v>
      </c>
      <c r="G527" s="3">
        <f t="shared" si="23"/>
        <v>45.861370776251725</v>
      </c>
      <c r="H527" t="str">
        <f t="shared" si="24"/>
        <v>2026-06</v>
      </c>
      <c r="I527">
        <v>3</v>
      </c>
    </row>
    <row r="528" spans="1:9" x14ac:dyDescent="0.25">
      <c r="A528" t="s">
        <v>533</v>
      </c>
      <c r="B528">
        <v>24092.7</v>
      </c>
      <c r="C528">
        <v>24095.25</v>
      </c>
      <c r="D528">
        <v>24063.15</v>
      </c>
      <c r="E528">
        <v>24075.55</v>
      </c>
      <c r="F528" s="2">
        <f t="shared" si="25"/>
        <v>32.099999999998545</v>
      </c>
      <c r="G528" s="3">
        <f t="shared" ref="G528:G591" si="26">(G527*13+F528)/14</f>
        <v>44.878415720805073</v>
      </c>
      <c r="H528" t="str">
        <f t="shared" si="24"/>
        <v>2026-06</v>
      </c>
      <c r="I528">
        <v>3</v>
      </c>
    </row>
    <row r="529" spans="1:9" x14ac:dyDescent="0.25">
      <c r="A529" t="s">
        <v>534</v>
      </c>
      <c r="B529">
        <v>24076.6</v>
      </c>
      <c r="C529">
        <v>24088</v>
      </c>
      <c r="D529">
        <v>24051.75</v>
      </c>
      <c r="E529">
        <v>24061.8</v>
      </c>
      <c r="F529" s="2">
        <f t="shared" si="25"/>
        <v>36.25</v>
      </c>
      <c r="G529" s="3">
        <f t="shared" si="26"/>
        <v>44.262100312176138</v>
      </c>
      <c r="H529" t="str">
        <f t="shared" si="24"/>
        <v>2026-06</v>
      </c>
      <c r="I529">
        <v>3</v>
      </c>
    </row>
    <row r="530" spans="1:9" x14ac:dyDescent="0.25">
      <c r="A530" t="s">
        <v>535</v>
      </c>
      <c r="B530">
        <v>24061.9</v>
      </c>
      <c r="C530">
        <v>24120</v>
      </c>
      <c r="D530">
        <v>24052.6</v>
      </c>
      <c r="E530">
        <v>24112.15</v>
      </c>
      <c r="F530" s="2">
        <f t="shared" si="25"/>
        <v>67.400000000001455</v>
      </c>
      <c r="G530" s="3">
        <f t="shared" si="26"/>
        <v>45.914807432735088</v>
      </c>
      <c r="H530" t="str">
        <f t="shared" si="24"/>
        <v>2026-06</v>
      </c>
      <c r="I530">
        <v>3</v>
      </c>
    </row>
    <row r="531" spans="1:9" x14ac:dyDescent="0.25">
      <c r="A531" t="s">
        <v>536</v>
      </c>
      <c r="B531">
        <v>24112.75</v>
      </c>
      <c r="C531">
        <v>24117.200000000001</v>
      </c>
      <c r="D531">
        <v>24091.3</v>
      </c>
      <c r="E531">
        <v>24112.3</v>
      </c>
      <c r="F531" s="2">
        <f t="shared" si="25"/>
        <v>25.900000000001455</v>
      </c>
      <c r="G531" s="3">
        <f t="shared" si="26"/>
        <v>44.485178330396977</v>
      </c>
      <c r="H531" t="str">
        <f t="shared" si="24"/>
        <v>2026-06</v>
      </c>
      <c r="I531">
        <v>3</v>
      </c>
    </row>
    <row r="532" spans="1:9" x14ac:dyDescent="0.25">
      <c r="A532" t="s">
        <v>537</v>
      </c>
      <c r="B532">
        <v>24115.5</v>
      </c>
      <c r="C532">
        <v>24115.5</v>
      </c>
      <c r="D532">
        <v>24047.4</v>
      </c>
      <c r="E532">
        <v>24066.35</v>
      </c>
      <c r="F532" s="2">
        <f t="shared" si="25"/>
        <v>68.099999999998545</v>
      </c>
      <c r="G532" s="3">
        <f t="shared" si="26"/>
        <v>46.171951306797091</v>
      </c>
      <c r="H532" t="str">
        <f t="shared" si="24"/>
        <v>2026-06</v>
      </c>
      <c r="I532">
        <v>3</v>
      </c>
    </row>
    <row r="533" spans="1:9" x14ac:dyDescent="0.25">
      <c r="A533" t="s">
        <v>538</v>
      </c>
      <c r="B533">
        <v>24066.9</v>
      </c>
      <c r="C533">
        <v>24090.9</v>
      </c>
      <c r="D533">
        <v>24058.15</v>
      </c>
      <c r="E533">
        <v>24073</v>
      </c>
      <c r="F533" s="2">
        <f t="shared" si="25"/>
        <v>32.75</v>
      </c>
      <c r="G533" s="3">
        <f t="shared" si="26"/>
        <v>45.213240499168727</v>
      </c>
      <c r="H533" t="str">
        <f t="shared" si="24"/>
        <v>2026-06</v>
      </c>
      <c r="I533">
        <v>3</v>
      </c>
    </row>
    <row r="534" spans="1:9" x14ac:dyDescent="0.25">
      <c r="A534" t="s">
        <v>539</v>
      </c>
      <c r="B534">
        <v>24072.45</v>
      </c>
      <c r="C534">
        <v>24084.25</v>
      </c>
      <c r="D534">
        <v>24056.5</v>
      </c>
      <c r="E534">
        <v>24061.200000000001</v>
      </c>
      <c r="F534" s="2">
        <f t="shared" si="25"/>
        <v>27.75</v>
      </c>
      <c r="G534" s="3">
        <f t="shared" si="26"/>
        <v>43.965866177799526</v>
      </c>
      <c r="H534" t="str">
        <f t="shared" si="24"/>
        <v>2026-06</v>
      </c>
      <c r="I534">
        <v>3</v>
      </c>
    </row>
    <row r="535" spans="1:9" x14ac:dyDescent="0.25">
      <c r="A535" t="s">
        <v>540</v>
      </c>
      <c r="B535">
        <v>24062.3</v>
      </c>
      <c r="C535">
        <v>24065.25</v>
      </c>
      <c r="D535">
        <v>24018.65</v>
      </c>
      <c r="E535">
        <v>24031.599999999999</v>
      </c>
      <c r="F535" s="2">
        <f t="shared" si="25"/>
        <v>46.599999999998545</v>
      </c>
      <c r="G535" s="3">
        <f t="shared" si="26"/>
        <v>44.154018593670891</v>
      </c>
      <c r="H535" t="str">
        <f t="shared" si="24"/>
        <v>2026-06</v>
      </c>
      <c r="I535">
        <v>3</v>
      </c>
    </row>
    <row r="536" spans="1:9" x14ac:dyDescent="0.25">
      <c r="A536" t="s">
        <v>541</v>
      </c>
      <c r="B536">
        <v>24032.45</v>
      </c>
      <c r="C536">
        <v>24036.9</v>
      </c>
      <c r="D536">
        <v>24002.05</v>
      </c>
      <c r="E536">
        <v>24011.15</v>
      </c>
      <c r="F536" s="2">
        <f t="shared" si="25"/>
        <v>34.850000000002183</v>
      </c>
      <c r="G536" s="3">
        <f t="shared" si="26"/>
        <v>43.489445836980273</v>
      </c>
      <c r="H536" t="str">
        <f t="shared" si="24"/>
        <v>2026-06</v>
      </c>
      <c r="I536">
        <v>3</v>
      </c>
    </row>
    <row r="537" spans="1:9" x14ac:dyDescent="0.25">
      <c r="A537" t="s">
        <v>542</v>
      </c>
      <c r="B537">
        <v>24012.95</v>
      </c>
      <c r="C537">
        <v>24019.25</v>
      </c>
      <c r="D537">
        <v>23989.8</v>
      </c>
      <c r="E537">
        <v>23993.7</v>
      </c>
      <c r="F537" s="2">
        <f t="shared" si="25"/>
        <v>29.450000000000728</v>
      </c>
      <c r="G537" s="3">
        <f t="shared" si="26"/>
        <v>42.486628277196019</v>
      </c>
      <c r="H537" t="str">
        <f t="shared" si="24"/>
        <v>2026-06</v>
      </c>
      <c r="I537">
        <v>3</v>
      </c>
    </row>
    <row r="538" spans="1:9" x14ac:dyDescent="0.25">
      <c r="A538" t="s">
        <v>543</v>
      </c>
      <c r="B538">
        <v>23995.95</v>
      </c>
      <c r="C538">
        <v>23999.05</v>
      </c>
      <c r="D538">
        <v>23964.85</v>
      </c>
      <c r="E538">
        <v>23968.400000000001</v>
      </c>
      <c r="F538" s="2">
        <f t="shared" si="25"/>
        <v>34.200000000000728</v>
      </c>
      <c r="G538" s="3">
        <f t="shared" si="26"/>
        <v>41.894726257396357</v>
      </c>
      <c r="H538" t="str">
        <f t="shared" si="24"/>
        <v>2026-06</v>
      </c>
      <c r="I538">
        <v>3</v>
      </c>
    </row>
    <row r="539" spans="1:9" x14ac:dyDescent="0.25">
      <c r="A539" t="s">
        <v>544</v>
      </c>
      <c r="B539">
        <v>23968.45</v>
      </c>
      <c r="C539">
        <v>23975.05</v>
      </c>
      <c r="D539">
        <v>23925.4</v>
      </c>
      <c r="E539">
        <v>23944.45</v>
      </c>
      <c r="F539" s="2">
        <f t="shared" si="25"/>
        <v>49.649999999997817</v>
      </c>
      <c r="G539" s="3">
        <f t="shared" si="26"/>
        <v>42.448674381867889</v>
      </c>
      <c r="H539" t="str">
        <f t="shared" si="24"/>
        <v>2026-06</v>
      </c>
      <c r="I539">
        <v>3</v>
      </c>
    </row>
    <row r="540" spans="1:9" x14ac:dyDescent="0.25">
      <c r="A540" t="s">
        <v>545</v>
      </c>
      <c r="B540">
        <v>23945</v>
      </c>
      <c r="C540">
        <v>23968.55</v>
      </c>
      <c r="D540">
        <v>23941</v>
      </c>
      <c r="E540">
        <v>23963.3</v>
      </c>
      <c r="F540" s="2">
        <f t="shared" si="25"/>
        <v>27.549999999999272</v>
      </c>
      <c r="G540" s="3">
        <f t="shared" si="26"/>
        <v>41.384483354591559</v>
      </c>
      <c r="H540" t="str">
        <f t="shared" si="24"/>
        <v>2026-06</v>
      </c>
      <c r="I540">
        <v>3</v>
      </c>
    </row>
    <row r="541" spans="1:9" x14ac:dyDescent="0.25">
      <c r="A541" t="s">
        <v>546</v>
      </c>
      <c r="B541">
        <v>23964.25</v>
      </c>
      <c r="C541">
        <v>23979.7</v>
      </c>
      <c r="D541">
        <v>23946</v>
      </c>
      <c r="E541">
        <v>23962.7</v>
      </c>
      <c r="F541" s="2">
        <f t="shared" si="25"/>
        <v>33.700000000000728</v>
      </c>
      <c r="G541" s="3">
        <f t="shared" si="26"/>
        <v>40.835591686406495</v>
      </c>
      <c r="H541" t="str">
        <f t="shared" si="24"/>
        <v>2026-06</v>
      </c>
      <c r="I541">
        <v>3</v>
      </c>
    </row>
    <row r="542" spans="1:9" x14ac:dyDescent="0.25">
      <c r="A542" t="s">
        <v>547</v>
      </c>
      <c r="B542">
        <v>23962.15</v>
      </c>
      <c r="C542">
        <v>23967.3</v>
      </c>
      <c r="D542">
        <v>23944.799999999999</v>
      </c>
      <c r="E542">
        <v>23965.15</v>
      </c>
      <c r="F542" s="2">
        <f t="shared" si="25"/>
        <v>22.5</v>
      </c>
      <c r="G542" s="3">
        <f t="shared" si="26"/>
        <v>39.525906565948887</v>
      </c>
      <c r="H542" t="str">
        <f t="shared" si="24"/>
        <v>2026-06</v>
      </c>
      <c r="I542">
        <v>3</v>
      </c>
    </row>
    <row r="543" spans="1:9" x14ac:dyDescent="0.25">
      <c r="A543" t="s">
        <v>548</v>
      </c>
      <c r="B543">
        <v>23965.65</v>
      </c>
      <c r="C543">
        <v>23981.25</v>
      </c>
      <c r="D543">
        <v>23935.8</v>
      </c>
      <c r="E543">
        <v>23940.45</v>
      </c>
      <c r="F543" s="2">
        <f t="shared" si="25"/>
        <v>45.450000000000728</v>
      </c>
      <c r="G543" s="3">
        <f t="shared" si="26"/>
        <v>39.949056096952589</v>
      </c>
      <c r="H543" t="str">
        <f t="shared" si="24"/>
        <v>2026-06</v>
      </c>
      <c r="I543">
        <v>3</v>
      </c>
    </row>
    <row r="544" spans="1:9" x14ac:dyDescent="0.25">
      <c r="A544" t="s">
        <v>549</v>
      </c>
      <c r="B544">
        <v>23940.65</v>
      </c>
      <c r="C544">
        <v>23959.200000000001</v>
      </c>
      <c r="D544">
        <v>23926.3</v>
      </c>
      <c r="E544">
        <v>23947.7</v>
      </c>
      <c r="F544" s="2">
        <f t="shared" si="25"/>
        <v>32.900000000001455</v>
      </c>
      <c r="G544" s="3">
        <f t="shared" si="26"/>
        <v>39.445552090027505</v>
      </c>
      <c r="H544" t="str">
        <f t="shared" si="24"/>
        <v>2026-06</v>
      </c>
      <c r="I544">
        <v>3</v>
      </c>
    </row>
    <row r="545" spans="1:9" x14ac:dyDescent="0.25">
      <c r="A545" t="s">
        <v>550</v>
      </c>
      <c r="B545">
        <v>23947.05</v>
      </c>
      <c r="C545">
        <v>23967.55</v>
      </c>
      <c r="D545">
        <v>23945.1</v>
      </c>
      <c r="E545">
        <v>23958.35</v>
      </c>
      <c r="F545" s="2">
        <f t="shared" si="25"/>
        <v>22.450000000000728</v>
      </c>
      <c r="G545" s="3">
        <f t="shared" si="26"/>
        <v>38.231584083597021</v>
      </c>
      <c r="H545" t="str">
        <f t="shared" si="24"/>
        <v>2026-06</v>
      </c>
      <c r="I545">
        <v>3</v>
      </c>
    </row>
    <row r="546" spans="1:9" x14ac:dyDescent="0.25">
      <c r="A546" t="s">
        <v>551</v>
      </c>
      <c r="B546">
        <v>23960.15</v>
      </c>
      <c r="C546">
        <v>23972.6</v>
      </c>
      <c r="D546">
        <v>23944.05</v>
      </c>
      <c r="E546">
        <v>23950.85</v>
      </c>
      <c r="F546" s="2">
        <f t="shared" si="25"/>
        <v>28.549999999999272</v>
      </c>
      <c r="G546" s="3">
        <f t="shared" si="26"/>
        <v>37.540042363340035</v>
      </c>
      <c r="H546" t="str">
        <f t="shared" si="24"/>
        <v>2026-06</v>
      </c>
      <c r="I546">
        <v>3</v>
      </c>
    </row>
    <row r="547" spans="1:9" x14ac:dyDescent="0.25">
      <c r="A547" t="s">
        <v>552</v>
      </c>
      <c r="B547">
        <v>23951.4</v>
      </c>
      <c r="C547">
        <v>23970.6</v>
      </c>
      <c r="D547">
        <v>23934.25</v>
      </c>
      <c r="E547">
        <v>23964.25</v>
      </c>
      <c r="F547" s="2">
        <f t="shared" si="25"/>
        <v>36.349999999998545</v>
      </c>
      <c r="G547" s="3">
        <f t="shared" si="26"/>
        <v>37.45503933738707</v>
      </c>
      <c r="H547" t="str">
        <f t="shared" si="24"/>
        <v>2026-06</v>
      </c>
      <c r="I547">
        <v>3</v>
      </c>
    </row>
    <row r="548" spans="1:9" x14ac:dyDescent="0.25">
      <c r="A548" t="s">
        <v>553</v>
      </c>
      <c r="B548">
        <v>23965.15</v>
      </c>
      <c r="C548">
        <v>23970.3</v>
      </c>
      <c r="D548">
        <v>23927.1</v>
      </c>
      <c r="E548">
        <v>23930.6</v>
      </c>
      <c r="F548" s="2">
        <f t="shared" si="25"/>
        <v>43.200000000000728</v>
      </c>
      <c r="G548" s="3">
        <f t="shared" si="26"/>
        <v>37.865393670430912</v>
      </c>
      <c r="H548" t="str">
        <f t="shared" si="24"/>
        <v>2026-06</v>
      </c>
      <c r="I548">
        <v>3</v>
      </c>
    </row>
    <row r="549" spans="1:9" x14ac:dyDescent="0.25">
      <c r="A549" t="s">
        <v>554</v>
      </c>
      <c r="B549">
        <v>23931.05</v>
      </c>
      <c r="C549">
        <v>23987.200000000001</v>
      </c>
      <c r="D549">
        <v>23924.55</v>
      </c>
      <c r="E549">
        <v>23943.200000000001</v>
      </c>
      <c r="F549" s="2">
        <f t="shared" si="25"/>
        <v>62.650000000001455</v>
      </c>
      <c r="G549" s="3">
        <f t="shared" si="26"/>
        <v>39.635722693971665</v>
      </c>
      <c r="H549" t="str">
        <f t="shared" si="24"/>
        <v>2026-06</v>
      </c>
      <c r="I549">
        <v>3</v>
      </c>
    </row>
    <row r="550" spans="1:9" x14ac:dyDescent="0.25">
      <c r="A550" t="s">
        <v>555</v>
      </c>
      <c r="B550">
        <v>23943.7</v>
      </c>
      <c r="C550">
        <v>23985.15</v>
      </c>
      <c r="D550">
        <v>23932.9</v>
      </c>
      <c r="E550">
        <v>23978.5</v>
      </c>
      <c r="F550" s="2">
        <f t="shared" si="25"/>
        <v>52.25</v>
      </c>
      <c r="G550" s="3">
        <f t="shared" si="26"/>
        <v>40.53674250154512</v>
      </c>
      <c r="H550" t="str">
        <f t="shared" si="24"/>
        <v>2026-06</v>
      </c>
      <c r="I550">
        <v>3</v>
      </c>
    </row>
    <row r="551" spans="1:9" x14ac:dyDescent="0.25">
      <c r="A551" t="s">
        <v>556</v>
      </c>
      <c r="B551">
        <v>24032.1</v>
      </c>
      <c r="C551">
        <v>24035.55</v>
      </c>
      <c r="D551">
        <v>23890.799999999999</v>
      </c>
      <c r="E551">
        <v>23896.9</v>
      </c>
      <c r="F551" s="2">
        <f t="shared" si="25"/>
        <v>144.75</v>
      </c>
      <c r="G551" s="3">
        <f t="shared" si="26"/>
        <v>47.980546608577619</v>
      </c>
      <c r="H551" t="str">
        <f t="shared" si="24"/>
        <v>2026-06</v>
      </c>
      <c r="I551">
        <v>3</v>
      </c>
    </row>
    <row r="552" spans="1:9" x14ac:dyDescent="0.25">
      <c r="A552" t="s">
        <v>557</v>
      </c>
      <c r="B552">
        <v>23896.7</v>
      </c>
      <c r="C552">
        <v>23899.5</v>
      </c>
      <c r="D552">
        <v>23861.5</v>
      </c>
      <c r="E552">
        <v>23870.35</v>
      </c>
      <c r="F552" s="2">
        <f t="shared" si="25"/>
        <v>38</v>
      </c>
      <c r="G552" s="3">
        <f t="shared" si="26"/>
        <v>47.267650422250647</v>
      </c>
      <c r="H552" t="str">
        <f t="shared" si="24"/>
        <v>2026-06</v>
      </c>
      <c r="I552">
        <v>3</v>
      </c>
    </row>
    <row r="553" spans="1:9" x14ac:dyDescent="0.25">
      <c r="A553" t="s">
        <v>558</v>
      </c>
      <c r="B553">
        <v>23870.5</v>
      </c>
      <c r="C553">
        <v>23890.1</v>
      </c>
      <c r="D553">
        <v>23851.95</v>
      </c>
      <c r="E553">
        <v>23881.7</v>
      </c>
      <c r="F553" s="2">
        <f t="shared" si="25"/>
        <v>38.149999999997817</v>
      </c>
      <c r="G553" s="3">
        <f t="shared" si="26"/>
        <v>46.616389677804015</v>
      </c>
      <c r="H553" t="str">
        <f t="shared" si="24"/>
        <v>2026-06</v>
      </c>
      <c r="I553">
        <v>3</v>
      </c>
    </row>
    <row r="554" spans="1:9" x14ac:dyDescent="0.25">
      <c r="A554" t="s">
        <v>559</v>
      </c>
      <c r="B554">
        <v>23881.1</v>
      </c>
      <c r="C554">
        <v>23916.05</v>
      </c>
      <c r="D554">
        <v>23872.7</v>
      </c>
      <c r="E554">
        <v>23889.8</v>
      </c>
      <c r="F554" s="2">
        <f t="shared" si="25"/>
        <v>43.349999999998545</v>
      </c>
      <c r="G554" s="3">
        <f t="shared" si="26"/>
        <v>46.383076129389337</v>
      </c>
      <c r="H554" t="str">
        <f t="shared" si="24"/>
        <v>2026-06</v>
      </c>
      <c r="I554">
        <v>3</v>
      </c>
    </row>
    <row r="555" spans="1:9" x14ac:dyDescent="0.25">
      <c r="A555" t="s">
        <v>560</v>
      </c>
      <c r="B555">
        <v>23889.599999999999</v>
      </c>
      <c r="C555">
        <v>23905.1</v>
      </c>
      <c r="D555">
        <v>23871.3</v>
      </c>
      <c r="E555">
        <v>23891.45</v>
      </c>
      <c r="F555" s="2">
        <f t="shared" si="25"/>
        <v>33.799999999999272</v>
      </c>
      <c r="G555" s="3">
        <f t="shared" si="26"/>
        <v>45.484284977290045</v>
      </c>
      <c r="H555" t="str">
        <f t="shared" si="24"/>
        <v>2026-06</v>
      </c>
      <c r="I555">
        <v>3</v>
      </c>
    </row>
    <row r="556" spans="1:9" x14ac:dyDescent="0.25">
      <c r="A556" t="s">
        <v>561</v>
      </c>
      <c r="B556">
        <v>23891.35</v>
      </c>
      <c r="C556">
        <v>23907.55</v>
      </c>
      <c r="D556">
        <v>23874.7</v>
      </c>
      <c r="E556">
        <v>23890.5</v>
      </c>
      <c r="F556" s="2">
        <f t="shared" si="25"/>
        <v>32.849999999998545</v>
      </c>
      <c r="G556" s="3">
        <f t="shared" si="26"/>
        <v>44.581836050340655</v>
      </c>
      <c r="H556" t="str">
        <f t="shared" si="24"/>
        <v>2026-06</v>
      </c>
      <c r="I556">
        <v>3</v>
      </c>
    </row>
    <row r="557" spans="1:9" x14ac:dyDescent="0.25">
      <c r="A557" t="s">
        <v>562</v>
      </c>
      <c r="B557">
        <v>23890.3</v>
      </c>
      <c r="C557">
        <v>23923.55</v>
      </c>
      <c r="D557">
        <v>23878.65</v>
      </c>
      <c r="E557">
        <v>23878.65</v>
      </c>
      <c r="F557" s="2">
        <f t="shared" si="25"/>
        <v>44.899999999997817</v>
      </c>
      <c r="G557" s="3">
        <f t="shared" si="26"/>
        <v>44.604562046744732</v>
      </c>
      <c r="H557" t="str">
        <f t="shared" si="24"/>
        <v>2026-06</v>
      </c>
      <c r="I557">
        <v>3</v>
      </c>
    </row>
    <row r="558" spans="1:9" x14ac:dyDescent="0.25">
      <c r="A558" t="s">
        <v>563</v>
      </c>
      <c r="B558">
        <v>23879</v>
      </c>
      <c r="C558">
        <v>23944.95</v>
      </c>
      <c r="D558">
        <v>23872.6</v>
      </c>
      <c r="E558">
        <v>23938.05</v>
      </c>
      <c r="F558" s="2">
        <f t="shared" si="25"/>
        <v>72.350000000002183</v>
      </c>
      <c r="G558" s="3">
        <f t="shared" si="26"/>
        <v>46.586379043405984</v>
      </c>
      <c r="H558" t="str">
        <f t="shared" si="24"/>
        <v>2026-06</v>
      </c>
      <c r="I558">
        <v>3</v>
      </c>
    </row>
    <row r="559" spans="1:9" x14ac:dyDescent="0.25">
      <c r="A559" t="s">
        <v>564</v>
      </c>
      <c r="B559">
        <v>23938.3</v>
      </c>
      <c r="C559">
        <v>23998.55</v>
      </c>
      <c r="D559">
        <v>23924.9</v>
      </c>
      <c r="E559">
        <v>23976.55</v>
      </c>
      <c r="F559" s="2">
        <f t="shared" si="25"/>
        <v>73.649999999997817</v>
      </c>
      <c r="G559" s="3">
        <f t="shared" si="26"/>
        <v>48.519494826019688</v>
      </c>
      <c r="H559" t="str">
        <f t="shared" si="24"/>
        <v>2026-06</v>
      </c>
      <c r="I559">
        <v>3</v>
      </c>
    </row>
    <row r="560" spans="1:9" x14ac:dyDescent="0.25">
      <c r="A560" t="s">
        <v>565</v>
      </c>
      <c r="B560">
        <v>23976.65</v>
      </c>
      <c r="C560">
        <v>23979.200000000001</v>
      </c>
      <c r="D560">
        <v>23919.8</v>
      </c>
      <c r="E560">
        <v>23932.6</v>
      </c>
      <c r="F560" s="2">
        <f t="shared" si="25"/>
        <v>59.400000000001455</v>
      </c>
      <c r="G560" s="3">
        <f t="shared" si="26"/>
        <v>49.296673767018383</v>
      </c>
      <c r="H560" t="str">
        <f t="shared" si="24"/>
        <v>2026-06</v>
      </c>
      <c r="I560">
        <v>3</v>
      </c>
    </row>
    <row r="561" spans="1:9" x14ac:dyDescent="0.25">
      <c r="A561" t="s">
        <v>566</v>
      </c>
      <c r="B561">
        <v>23932.25</v>
      </c>
      <c r="C561">
        <v>23951</v>
      </c>
      <c r="D561">
        <v>23923.8</v>
      </c>
      <c r="E561">
        <v>23946.15</v>
      </c>
      <c r="F561" s="2">
        <f t="shared" si="25"/>
        <v>27.200000000000728</v>
      </c>
      <c r="G561" s="3">
        <f t="shared" si="26"/>
        <v>47.718339926517118</v>
      </c>
      <c r="H561" t="str">
        <f t="shared" si="24"/>
        <v>2026-06</v>
      </c>
      <c r="I561">
        <v>3</v>
      </c>
    </row>
    <row r="562" spans="1:9" x14ac:dyDescent="0.25">
      <c r="A562" t="s">
        <v>567</v>
      </c>
      <c r="B562">
        <v>23946.25</v>
      </c>
      <c r="C562">
        <v>23948.6</v>
      </c>
      <c r="D562">
        <v>23922.95</v>
      </c>
      <c r="E562">
        <v>23925.9</v>
      </c>
      <c r="F562" s="2">
        <f t="shared" si="25"/>
        <v>25.649999999997817</v>
      </c>
      <c r="G562" s="3">
        <f t="shared" si="26"/>
        <v>46.142029931765741</v>
      </c>
      <c r="H562" t="str">
        <f t="shared" si="24"/>
        <v>2026-06</v>
      </c>
      <c r="I562">
        <v>3</v>
      </c>
    </row>
    <row r="563" spans="1:9" x14ac:dyDescent="0.25">
      <c r="A563" t="s">
        <v>568</v>
      </c>
      <c r="B563">
        <v>23924.95</v>
      </c>
      <c r="C563">
        <v>23938.6</v>
      </c>
      <c r="D563">
        <v>23918.400000000001</v>
      </c>
      <c r="E563">
        <v>23933.15</v>
      </c>
      <c r="F563" s="2">
        <f t="shared" si="25"/>
        <v>20.19999999999709</v>
      </c>
      <c r="G563" s="3">
        <f t="shared" si="26"/>
        <v>44.289027793782267</v>
      </c>
      <c r="H563" t="str">
        <f t="shared" si="24"/>
        <v>2026-06</v>
      </c>
      <c r="I563">
        <v>3</v>
      </c>
    </row>
    <row r="564" spans="1:9" x14ac:dyDescent="0.25">
      <c r="A564" t="s">
        <v>569</v>
      </c>
      <c r="B564">
        <v>23934</v>
      </c>
      <c r="C564">
        <v>23956.2</v>
      </c>
      <c r="D564">
        <v>23911.55</v>
      </c>
      <c r="E564">
        <v>23951.05</v>
      </c>
      <c r="F564" s="2">
        <f t="shared" si="25"/>
        <v>44.650000000001455</v>
      </c>
      <c r="G564" s="3">
        <f t="shared" si="26"/>
        <v>44.314811522797925</v>
      </c>
      <c r="H564" t="str">
        <f t="shared" si="24"/>
        <v>2026-06</v>
      </c>
      <c r="I564">
        <v>3</v>
      </c>
    </row>
    <row r="565" spans="1:9" x14ac:dyDescent="0.25">
      <c r="A565" t="s">
        <v>570</v>
      </c>
      <c r="B565">
        <v>23950.55</v>
      </c>
      <c r="C565">
        <v>23964.35</v>
      </c>
      <c r="D565">
        <v>23934.2</v>
      </c>
      <c r="E565">
        <v>23952.45</v>
      </c>
      <c r="F565" s="2">
        <f t="shared" si="25"/>
        <v>30.149999999997817</v>
      </c>
      <c r="G565" s="3">
        <f t="shared" si="26"/>
        <v>43.303039271169347</v>
      </c>
      <c r="H565" t="str">
        <f t="shared" si="24"/>
        <v>2026-06</v>
      </c>
      <c r="I565">
        <v>3</v>
      </c>
    </row>
    <row r="566" spans="1:9" x14ac:dyDescent="0.25">
      <c r="A566" t="s">
        <v>571</v>
      </c>
      <c r="B566">
        <v>23951.95</v>
      </c>
      <c r="C566">
        <v>23954.3</v>
      </c>
      <c r="D566">
        <v>23929.15</v>
      </c>
      <c r="E566">
        <v>23934</v>
      </c>
      <c r="F566" s="2">
        <f t="shared" si="25"/>
        <v>25.149999999997817</v>
      </c>
      <c r="G566" s="3">
        <f t="shared" si="26"/>
        <v>42.006393608942808</v>
      </c>
      <c r="H566" t="str">
        <f t="shared" si="24"/>
        <v>2026-06</v>
      </c>
      <c r="I566">
        <v>3</v>
      </c>
    </row>
    <row r="567" spans="1:9" x14ac:dyDescent="0.25">
      <c r="A567" t="s">
        <v>572</v>
      </c>
      <c r="B567">
        <v>23933.200000000001</v>
      </c>
      <c r="C567">
        <v>23944.85</v>
      </c>
      <c r="D567">
        <v>23913.05</v>
      </c>
      <c r="E567">
        <v>23935.15</v>
      </c>
      <c r="F567" s="2">
        <f t="shared" si="25"/>
        <v>31.799999999999272</v>
      </c>
      <c r="G567" s="3">
        <f t="shared" si="26"/>
        <v>41.277365494018269</v>
      </c>
      <c r="H567" t="str">
        <f t="shared" si="24"/>
        <v>2026-06</v>
      </c>
      <c r="I567">
        <v>3</v>
      </c>
    </row>
    <row r="568" spans="1:9" x14ac:dyDescent="0.25">
      <c r="A568" t="s">
        <v>573</v>
      </c>
      <c r="B568">
        <v>23934.25</v>
      </c>
      <c r="C568">
        <v>23954.95</v>
      </c>
      <c r="D568">
        <v>23929.9</v>
      </c>
      <c r="E568">
        <v>23946.799999999999</v>
      </c>
      <c r="F568" s="2">
        <f t="shared" si="25"/>
        <v>25.049999999999272</v>
      </c>
      <c r="G568" s="3">
        <f t="shared" si="26"/>
        <v>40.118267958731202</v>
      </c>
      <c r="H568" t="str">
        <f t="shared" si="24"/>
        <v>2026-06</v>
      </c>
      <c r="I568">
        <v>3</v>
      </c>
    </row>
    <row r="569" spans="1:9" x14ac:dyDescent="0.25">
      <c r="A569" t="s">
        <v>574</v>
      </c>
      <c r="B569">
        <v>23946.65</v>
      </c>
      <c r="C569">
        <v>23947.8</v>
      </c>
      <c r="D569">
        <v>23916.400000000001</v>
      </c>
      <c r="E569">
        <v>23929.4</v>
      </c>
      <c r="F569" s="2">
        <f t="shared" si="25"/>
        <v>31.399999999997817</v>
      </c>
      <c r="G569" s="3">
        <f t="shared" si="26"/>
        <v>39.495534533107389</v>
      </c>
      <c r="H569" t="str">
        <f t="shared" si="24"/>
        <v>2026-06</v>
      </c>
      <c r="I569">
        <v>3</v>
      </c>
    </row>
    <row r="570" spans="1:9" x14ac:dyDescent="0.25">
      <c r="A570" t="s">
        <v>575</v>
      </c>
      <c r="B570">
        <v>23928.6</v>
      </c>
      <c r="C570">
        <v>23931.95</v>
      </c>
      <c r="D570">
        <v>23880.95</v>
      </c>
      <c r="E570">
        <v>23885.25</v>
      </c>
      <c r="F570" s="2">
        <f t="shared" si="25"/>
        <v>51</v>
      </c>
      <c r="G570" s="3">
        <f t="shared" si="26"/>
        <v>40.317282066456862</v>
      </c>
      <c r="H570" t="str">
        <f t="shared" si="24"/>
        <v>2026-06</v>
      </c>
      <c r="I570">
        <v>3</v>
      </c>
    </row>
    <row r="571" spans="1:9" x14ac:dyDescent="0.25">
      <c r="A571" t="s">
        <v>576</v>
      </c>
      <c r="B571">
        <v>23885.1</v>
      </c>
      <c r="C571">
        <v>23972.45</v>
      </c>
      <c r="D571">
        <v>23863.9</v>
      </c>
      <c r="E571">
        <v>23944.45</v>
      </c>
      <c r="F571" s="2">
        <f t="shared" si="25"/>
        <v>108.54999999999927</v>
      </c>
      <c r="G571" s="3">
        <f t="shared" si="26"/>
        <v>45.19104763313846</v>
      </c>
      <c r="H571" t="str">
        <f t="shared" si="24"/>
        <v>2026-06</v>
      </c>
      <c r="I571">
        <v>3</v>
      </c>
    </row>
    <row r="572" spans="1:9" x14ac:dyDescent="0.25">
      <c r="A572" t="s">
        <v>577</v>
      </c>
      <c r="B572">
        <v>23945.200000000001</v>
      </c>
      <c r="C572">
        <v>23955.85</v>
      </c>
      <c r="D572">
        <v>23920.799999999999</v>
      </c>
      <c r="E572">
        <v>23945.7</v>
      </c>
      <c r="F572" s="2">
        <f t="shared" si="25"/>
        <v>35.049999999999272</v>
      </c>
      <c r="G572" s="3">
        <f t="shared" si="26"/>
        <v>44.466687087914231</v>
      </c>
      <c r="H572" t="str">
        <f t="shared" si="24"/>
        <v>2026-06</v>
      </c>
      <c r="I572">
        <v>3</v>
      </c>
    </row>
    <row r="573" spans="1:9" x14ac:dyDescent="0.25">
      <c r="A573" t="s">
        <v>578</v>
      </c>
      <c r="B573">
        <v>23945.65</v>
      </c>
      <c r="C573">
        <v>23948.400000000001</v>
      </c>
      <c r="D573">
        <v>23895.3</v>
      </c>
      <c r="E573">
        <v>23905.35</v>
      </c>
      <c r="F573" s="2">
        <f t="shared" si="25"/>
        <v>53.100000000002183</v>
      </c>
      <c r="G573" s="3">
        <f t="shared" si="26"/>
        <v>45.083352295920513</v>
      </c>
      <c r="H573" t="str">
        <f t="shared" si="24"/>
        <v>2026-06</v>
      </c>
      <c r="I573">
        <v>3</v>
      </c>
    </row>
    <row r="574" spans="1:9" x14ac:dyDescent="0.25">
      <c r="A574" t="s">
        <v>579</v>
      </c>
      <c r="B574">
        <v>23902.3</v>
      </c>
      <c r="C574">
        <v>23906.25</v>
      </c>
      <c r="D574">
        <v>23829.200000000001</v>
      </c>
      <c r="E574">
        <v>23864.799999999999</v>
      </c>
      <c r="F574" s="2">
        <f t="shared" si="25"/>
        <v>77.049999999999272</v>
      </c>
      <c r="G574" s="3">
        <f t="shared" si="26"/>
        <v>47.366684274783282</v>
      </c>
      <c r="H574" t="str">
        <f t="shared" si="24"/>
        <v>2026-06</v>
      </c>
      <c r="I574">
        <v>3</v>
      </c>
    </row>
    <row r="575" spans="1:9" x14ac:dyDescent="0.25">
      <c r="A575" t="s">
        <v>580</v>
      </c>
      <c r="B575">
        <v>23864.15</v>
      </c>
      <c r="C575">
        <v>23922.1</v>
      </c>
      <c r="D575">
        <v>23864.15</v>
      </c>
      <c r="E575">
        <v>23917.75</v>
      </c>
      <c r="F575" s="2">
        <f t="shared" si="25"/>
        <v>57.94999999999709</v>
      </c>
      <c r="G575" s="3">
        <f t="shared" si="26"/>
        <v>48.122635398012839</v>
      </c>
      <c r="H575" t="str">
        <f t="shared" si="24"/>
        <v>2026-06</v>
      </c>
      <c r="I575">
        <v>3</v>
      </c>
    </row>
    <row r="576" spans="1:9" x14ac:dyDescent="0.25">
      <c r="A576" t="s">
        <v>581</v>
      </c>
      <c r="B576">
        <v>23909.8</v>
      </c>
      <c r="C576">
        <v>23934.9</v>
      </c>
      <c r="D576">
        <v>23895.1</v>
      </c>
      <c r="E576">
        <v>23922.95</v>
      </c>
      <c r="F576" s="2">
        <f t="shared" si="25"/>
        <v>39.80000000000291</v>
      </c>
      <c r="G576" s="3">
        <f t="shared" si="26"/>
        <v>47.528161441012131</v>
      </c>
      <c r="H576" t="str">
        <f t="shared" si="24"/>
        <v>2026-07</v>
      </c>
      <c r="I576">
        <v>3</v>
      </c>
    </row>
    <row r="577" spans="1:9" x14ac:dyDescent="0.25">
      <c r="A577" t="s">
        <v>582</v>
      </c>
      <c r="B577">
        <v>23919.95</v>
      </c>
      <c r="C577">
        <v>23949.95</v>
      </c>
      <c r="D577">
        <v>23912.65</v>
      </c>
      <c r="E577">
        <v>23944.2</v>
      </c>
      <c r="F577" s="2">
        <f t="shared" si="25"/>
        <v>37.299999999999272</v>
      </c>
      <c r="G577" s="3">
        <f t="shared" si="26"/>
        <v>46.797578480939784</v>
      </c>
      <c r="H577" t="str">
        <f t="shared" si="24"/>
        <v>2026-07</v>
      </c>
      <c r="I577">
        <v>3</v>
      </c>
    </row>
    <row r="578" spans="1:9" x14ac:dyDescent="0.25">
      <c r="A578" t="s">
        <v>583</v>
      </c>
      <c r="B578">
        <v>23943.5</v>
      </c>
      <c r="C578">
        <v>23985.5</v>
      </c>
      <c r="D578">
        <v>23943.45</v>
      </c>
      <c r="E578">
        <v>23982.45</v>
      </c>
      <c r="F578" s="2">
        <f t="shared" si="25"/>
        <v>42.049999999999272</v>
      </c>
      <c r="G578" s="3">
        <f t="shared" si="26"/>
        <v>46.458465732301178</v>
      </c>
      <c r="H578" t="str">
        <f t="shared" ref="H578:H641" si="27">LEFT(A578,7)</f>
        <v>2026-07</v>
      </c>
      <c r="I578">
        <v>3</v>
      </c>
    </row>
    <row r="579" spans="1:9" x14ac:dyDescent="0.25">
      <c r="A579" t="s">
        <v>584</v>
      </c>
      <c r="B579">
        <v>23981.65</v>
      </c>
      <c r="C579">
        <v>23996.400000000001</v>
      </c>
      <c r="D579">
        <v>23962.75</v>
      </c>
      <c r="E579">
        <v>23987.1</v>
      </c>
      <c r="F579" s="2">
        <f t="shared" ref="F579:F642" si="28">MAX(C579-D579,ABS(C579-E578),ABS(D579-E578))</f>
        <v>33.650000000001455</v>
      </c>
      <c r="G579" s="3">
        <f t="shared" si="26"/>
        <v>45.543575322851197</v>
      </c>
      <c r="H579" t="str">
        <f t="shared" si="27"/>
        <v>2026-07</v>
      </c>
      <c r="I579">
        <v>3</v>
      </c>
    </row>
    <row r="580" spans="1:9" x14ac:dyDescent="0.25">
      <c r="A580" t="s">
        <v>585</v>
      </c>
      <c r="B580">
        <v>23987.05</v>
      </c>
      <c r="C580">
        <v>24020.65</v>
      </c>
      <c r="D580">
        <v>23986.45</v>
      </c>
      <c r="E580">
        <v>23997.5</v>
      </c>
      <c r="F580" s="2">
        <f t="shared" si="28"/>
        <v>34.200000000000728</v>
      </c>
      <c r="G580" s="3">
        <f t="shared" si="26"/>
        <v>44.73331994264759</v>
      </c>
      <c r="H580" t="str">
        <f t="shared" si="27"/>
        <v>2026-07</v>
      </c>
      <c r="I580">
        <v>3</v>
      </c>
    </row>
    <row r="581" spans="1:9" x14ac:dyDescent="0.25">
      <c r="A581" t="s">
        <v>586</v>
      </c>
      <c r="B581">
        <v>23997.200000000001</v>
      </c>
      <c r="C581">
        <v>24004.3</v>
      </c>
      <c r="D581">
        <v>23947.35</v>
      </c>
      <c r="E581">
        <v>23953.1</v>
      </c>
      <c r="F581" s="2">
        <f t="shared" si="28"/>
        <v>56.950000000000728</v>
      </c>
      <c r="G581" s="3">
        <f t="shared" si="26"/>
        <v>45.605939946744243</v>
      </c>
      <c r="H581" t="str">
        <f t="shared" si="27"/>
        <v>2026-07</v>
      </c>
      <c r="I581">
        <v>3</v>
      </c>
    </row>
    <row r="582" spans="1:9" x14ac:dyDescent="0.25">
      <c r="A582" t="s">
        <v>587</v>
      </c>
      <c r="B582">
        <v>23954.05</v>
      </c>
      <c r="C582">
        <v>23983.65</v>
      </c>
      <c r="D582">
        <v>23951.7</v>
      </c>
      <c r="E582">
        <v>23976.3</v>
      </c>
      <c r="F582" s="2">
        <f t="shared" si="28"/>
        <v>31.950000000000728</v>
      </c>
      <c r="G582" s="3">
        <f t="shared" si="26"/>
        <v>44.630515664833993</v>
      </c>
      <c r="H582" t="str">
        <f t="shared" si="27"/>
        <v>2026-07</v>
      </c>
      <c r="I582">
        <v>3</v>
      </c>
    </row>
    <row r="583" spans="1:9" x14ac:dyDescent="0.25">
      <c r="A583" t="s">
        <v>588</v>
      </c>
      <c r="B583">
        <v>23976.400000000001</v>
      </c>
      <c r="C583">
        <v>24020.95</v>
      </c>
      <c r="D583">
        <v>23975.200000000001</v>
      </c>
      <c r="E583">
        <v>24019.5</v>
      </c>
      <c r="F583" s="2">
        <f t="shared" si="28"/>
        <v>45.75</v>
      </c>
      <c r="G583" s="3">
        <f t="shared" si="26"/>
        <v>44.710478831631569</v>
      </c>
      <c r="H583" t="str">
        <f t="shared" si="27"/>
        <v>2026-07</v>
      </c>
      <c r="I583">
        <v>3</v>
      </c>
    </row>
    <row r="584" spans="1:9" x14ac:dyDescent="0.25">
      <c r="A584" t="s">
        <v>589</v>
      </c>
      <c r="B584">
        <v>24018.75</v>
      </c>
      <c r="C584">
        <v>24026.85</v>
      </c>
      <c r="D584">
        <v>23998.6</v>
      </c>
      <c r="E584">
        <v>24008.799999999999</v>
      </c>
      <c r="F584" s="2">
        <f t="shared" si="28"/>
        <v>28.25</v>
      </c>
      <c r="G584" s="3">
        <f t="shared" si="26"/>
        <v>43.534730343657884</v>
      </c>
      <c r="H584" t="str">
        <f t="shared" si="27"/>
        <v>2026-07</v>
      </c>
      <c r="I584">
        <v>3</v>
      </c>
    </row>
    <row r="585" spans="1:9" x14ac:dyDescent="0.25">
      <c r="A585" t="s">
        <v>590</v>
      </c>
      <c r="B585">
        <v>24008.35</v>
      </c>
      <c r="C585">
        <v>24013.65</v>
      </c>
      <c r="D585">
        <v>23986</v>
      </c>
      <c r="E585">
        <v>24012.55</v>
      </c>
      <c r="F585" s="2">
        <f t="shared" si="28"/>
        <v>27.650000000001455</v>
      </c>
      <c r="G585" s="3">
        <f t="shared" si="26"/>
        <v>42.400106747682422</v>
      </c>
      <c r="H585" t="str">
        <f t="shared" si="27"/>
        <v>2026-07</v>
      </c>
      <c r="I585">
        <v>3</v>
      </c>
    </row>
    <row r="586" spans="1:9" x14ac:dyDescent="0.25">
      <c r="A586" t="s">
        <v>591</v>
      </c>
      <c r="B586">
        <v>24011.7</v>
      </c>
      <c r="C586">
        <v>24028.6</v>
      </c>
      <c r="D586">
        <v>23998.15</v>
      </c>
      <c r="E586">
        <v>24026.25</v>
      </c>
      <c r="F586" s="2">
        <f t="shared" si="28"/>
        <v>30.44999999999709</v>
      </c>
      <c r="G586" s="3">
        <f t="shared" si="26"/>
        <v>41.546527694276328</v>
      </c>
      <c r="H586" t="str">
        <f t="shared" si="27"/>
        <v>2026-07</v>
      </c>
      <c r="I586">
        <v>3</v>
      </c>
    </row>
    <row r="587" spans="1:9" x14ac:dyDescent="0.25">
      <c r="A587" t="s">
        <v>592</v>
      </c>
      <c r="B587">
        <v>24026.5</v>
      </c>
      <c r="C587">
        <v>24049.9</v>
      </c>
      <c r="D587">
        <v>24020.15</v>
      </c>
      <c r="E587">
        <v>24023.5</v>
      </c>
      <c r="F587" s="2">
        <f t="shared" si="28"/>
        <v>29.75</v>
      </c>
      <c r="G587" s="3">
        <f t="shared" si="26"/>
        <v>40.703918573256594</v>
      </c>
      <c r="H587" t="str">
        <f t="shared" si="27"/>
        <v>2026-07</v>
      </c>
      <c r="I587">
        <v>3</v>
      </c>
    </row>
    <row r="588" spans="1:9" x14ac:dyDescent="0.25">
      <c r="A588" t="s">
        <v>593</v>
      </c>
      <c r="B588">
        <v>24023.8</v>
      </c>
      <c r="C588">
        <v>24036.95</v>
      </c>
      <c r="D588">
        <v>23994.3</v>
      </c>
      <c r="E588">
        <v>23997.4</v>
      </c>
      <c r="F588" s="2">
        <f t="shared" si="28"/>
        <v>42.650000000001455</v>
      </c>
      <c r="G588" s="3">
        <f t="shared" si="26"/>
        <v>40.842924389452655</v>
      </c>
      <c r="H588" t="str">
        <f t="shared" si="27"/>
        <v>2026-07</v>
      </c>
      <c r="I588">
        <v>3</v>
      </c>
    </row>
    <row r="589" spans="1:9" x14ac:dyDescent="0.25">
      <c r="A589" t="s">
        <v>594</v>
      </c>
      <c r="B589">
        <v>23997.55</v>
      </c>
      <c r="C589">
        <v>24043.25</v>
      </c>
      <c r="D589">
        <v>23997.5</v>
      </c>
      <c r="E589">
        <v>24023.8</v>
      </c>
      <c r="F589" s="2">
        <f t="shared" si="28"/>
        <v>45.849999999998545</v>
      </c>
      <c r="G589" s="3">
        <f t="shared" si="26"/>
        <v>41.200572647348793</v>
      </c>
      <c r="H589" t="str">
        <f t="shared" si="27"/>
        <v>2026-07</v>
      </c>
      <c r="I589">
        <v>3</v>
      </c>
    </row>
    <row r="590" spans="1:9" x14ac:dyDescent="0.25">
      <c r="A590" t="s">
        <v>595</v>
      </c>
      <c r="B590">
        <v>24024.1</v>
      </c>
      <c r="C590">
        <v>24030.6</v>
      </c>
      <c r="D590">
        <v>24016.3</v>
      </c>
      <c r="E590">
        <v>24022.95</v>
      </c>
      <c r="F590" s="2">
        <f t="shared" si="28"/>
        <v>14.299999999999272</v>
      </c>
      <c r="G590" s="3">
        <f t="shared" si="26"/>
        <v>39.279103172538107</v>
      </c>
      <c r="H590" t="str">
        <f t="shared" si="27"/>
        <v>2026-07</v>
      </c>
      <c r="I590">
        <v>3</v>
      </c>
    </row>
    <row r="591" spans="1:9" x14ac:dyDescent="0.25">
      <c r="A591" t="s">
        <v>596</v>
      </c>
      <c r="B591">
        <v>24022.9</v>
      </c>
      <c r="C591">
        <v>24029.45</v>
      </c>
      <c r="D591">
        <v>24007.15</v>
      </c>
      <c r="E591">
        <v>24028.05</v>
      </c>
      <c r="F591" s="2">
        <f t="shared" si="28"/>
        <v>22.299999999999272</v>
      </c>
      <c r="G591" s="3">
        <f t="shared" si="26"/>
        <v>38.066310088785336</v>
      </c>
      <c r="H591" t="str">
        <f t="shared" si="27"/>
        <v>2026-07</v>
      </c>
      <c r="I591">
        <v>3</v>
      </c>
    </row>
    <row r="592" spans="1:9" x14ac:dyDescent="0.25">
      <c r="A592" t="s">
        <v>597</v>
      </c>
      <c r="B592">
        <v>24026.55</v>
      </c>
      <c r="C592">
        <v>24033.35</v>
      </c>
      <c r="D592">
        <v>24011.35</v>
      </c>
      <c r="E592">
        <v>24012.75</v>
      </c>
      <c r="F592" s="2">
        <f t="shared" si="28"/>
        <v>22</v>
      </c>
      <c r="G592" s="3">
        <f t="shared" ref="G592:G655" si="29">(G591*13+F592)/14</f>
        <v>36.918716511014956</v>
      </c>
      <c r="H592" t="str">
        <f t="shared" si="27"/>
        <v>2026-07</v>
      </c>
      <c r="I592">
        <v>3</v>
      </c>
    </row>
    <row r="593" spans="1:9" x14ac:dyDescent="0.25">
      <c r="A593" t="s">
        <v>598</v>
      </c>
      <c r="B593">
        <v>24012.95</v>
      </c>
      <c r="C593">
        <v>24047.65</v>
      </c>
      <c r="D593">
        <v>24002.05</v>
      </c>
      <c r="E593">
        <v>24029.200000000001</v>
      </c>
      <c r="F593" s="2">
        <f t="shared" si="28"/>
        <v>45.600000000002183</v>
      </c>
      <c r="G593" s="3">
        <f t="shared" si="29"/>
        <v>37.538808188799756</v>
      </c>
      <c r="H593" t="str">
        <f t="shared" si="27"/>
        <v>2026-07</v>
      </c>
      <c r="I593">
        <v>3</v>
      </c>
    </row>
    <row r="594" spans="1:9" x14ac:dyDescent="0.25">
      <c r="A594" t="s">
        <v>599</v>
      </c>
      <c r="B594">
        <v>24029.599999999999</v>
      </c>
      <c r="C594">
        <v>24032.65</v>
      </c>
      <c r="D594">
        <v>24014.6</v>
      </c>
      <c r="E594">
        <v>24018.35</v>
      </c>
      <c r="F594" s="2">
        <f t="shared" si="28"/>
        <v>18.05000000000291</v>
      </c>
      <c r="G594" s="3">
        <f t="shared" si="29"/>
        <v>36.146750461028553</v>
      </c>
      <c r="H594" t="str">
        <f t="shared" si="27"/>
        <v>2026-07</v>
      </c>
      <c r="I594">
        <v>3</v>
      </c>
    </row>
    <row r="595" spans="1:9" x14ac:dyDescent="0.25">
      <c r="A595" t="s">
        <v>600</v>
      </c>
      <c r="B595">
        <v>24018.1</v>
      </c>
      <c r="C595">
        <v>24044.15</v>
      </c>
      <c r="D595">
        <v>24011.15</v>
      </c>
      <c r="E595">
        <v>24035.599999999999</v>
      </c>
      <c r="F595" s="2">
        <f t="shared" si="28"/>
        <v>33</v>
      </c>
      <c r="G595" s="3">
        <f t="shared" si="29"/>
        <v>35.921982570955088</v>
      </c>
      <c r="H595" t="str">
        <f t="shared" si="27"/>
        <v>2026-07</v>
      </c>
      <c r="I595">
        <v>3</v>
      </c>
    </row>
    <row r="596" spans="1:9" x14ac:dyDescent="0.25">
      <c r="A596" t="s">
        <v>601</v>
      </c>
      <c r="B596">
        <v>24035.3</v>
      </c>
      <c r="C596">
        <v>24041.65</v>
      </c>
      <c r="D596">
        <v>24023.4</v>
      </c>
      <c r="E596">
        <v>24028.6</v>
      </c>
      <c r="F596" s="2">
        <f t="shared" si="28"/>
        <v>18.25</v>
      </c>
      <c r="G596" s="3">
        <f t="shared" si="29"/>
        <v>34.659698101601151</v>
      </c>
      <c r="H596" t="str">
        <f t="shared" si="27"/>
        <v>2026-07</v>
      </c>
      <c r="I596">
        <v>3</v>
      </c>
    </row>
    <row r="597" spans="1:9" x14ac:dyDescent="0.25">
      <c r="A597" t="s">
        <v>602</v>
      </c>
      <c r="B597">
        <v>24028.55</v>
      </c>
      <c r="C597">
        <v>24031.35</v>
      </c>
      <c r="D597">
        <v>23991.75</v>
      </c>
      <c r="E597">
        <v>24021.1</v>
      </c>
      <c r="F597" s="2">
        <f t="shared" si="28"/>
        <v>39.599999999998545</v>
      </c>
      <c r="G597" s="3">
        <f t="shared" si="29"/>
        <v>35.012576808629539</v>
      </c>
      <c r="H597" t="str">
        <f t="shared" si="27"/>
        <v>2026-07</v>
      </c>
      <c r="I597">
        <v>3</v>
      </c>
    </row>
    <row r="598" spans="1:9" x14ac:dyDescent="0.25">
      <c r="A598" t="s">
        <v>603</v>
      </c>
      <c r="B598">
        <v>24020.85</v>
      </c>
      <c r="C598">
        <v>24038.35</v>
      </c>
      <c r="D598">
        <v>24009.65</v>
      </c>
      <c r="E598">
        <v>24035.7</v>
      </c>
      <c r="F598" s="2">
        <f t="shared" si="28"/>
        <v>28.69999999999709</v>
      </c>
      <c r="G598" s="3">
        <f t="shared" si="29"/>
        <v>34.561678465155794</v>
      </c>
      <c r="H598" t="str">
        <f t="shared" si="27"/>
        <v>2026-07</v>
      </c>
      <c r="I598">
        <v>3</v>
      </c>
    </row>
    <row r="599" spans="1:9" x14ac:dyDescent="0.25">
      <c r="A599" t="s">
        <v>604</v>
      </c>
      <c r="B599">
        <v>24035.65</v>
      </c>
      <c r="C599">
        <v>24048.2</v>
      </c>
      <c r="D599">
        <v>23999.15</v>
      </c>
      <c r="E599">
        <v>24005.25</v>
      </c>
      <c r="F599" s="2">
        <f t="shared" si="28"/>
        <v>49.049999999999272</v>
      </c>
      <c r="G599" s="3">
        <f t="shared" si="29"/>
        <v>35.596558574787473</v>
      </c>
      <c r="H599" t="str">
        <f t="shared" si="27"/>
        <v>2026-07</v>
      </c>
      <c r="I599">
        <v>3</v>
      </c>
    </row>
    <row r="600" spans="1:9" x14ac:dyDescent="0.25">
      <c r="A600" t="s">
        <v>605</v>
      </c>
      <c r="B600">
        <v>24006.25</v>
      </c>
      <c r="C600">
        <v>24010.400000000001</v>
      </c>
      <c r="D600">
        <v>23980.65</v>
      </c>
      <c r="E600">
        <v>23988.1</v>
      </c>
      <c r="F600" s="2">
        <f t="shared" si="28"/>
        <v>29.75</v>
      </c>
      <c r="G600" s="3">
        <f t="shared" si="29"/>
        <v>35.178947248016939</v>
      </c>
      <c r="H600" t="str">
        <f t="shared" si="27"/>
        <v>2026-07</v>
      </c>
      <c r="I600">
        <v>3</v>
      </c>
    </row>
    <row r="601" spans="1:9" x14ac:dyDescent="0.25">
      <c r="A601" t="s">
        <v>606</v>
      </c>
      <c r="B601">
        <v>24075.75</v>
      </c>
      <c r="C601">
        <v>24127.599999999999</v>
      </c>
      <c r="D601">
        <v>24058.799999999999</v>
      </c>
      <c r="E601">
        <v>24111.599999999999</v>
      </c>
      <c r="F601" s="2">
        <f t="shared" si="28"/>
        <v>139.5</v>
      </c>
      <c r="G601" s="3">
        <f t="shared" si="29"/>
        <v>42.630451016015726</v>
      </c>
      <c r="H601" t="str">
        <f t="shared" si="27"/>
        <v>2026-07</v>
      </c>
      <c r="I601">
        <v>3</v>
      </c>
    </row>
    <row r="602" spans="1:9" x14ac:dyDescent="0.25">
      <c r="A602" t="s">
        <v>607</v>
      </c>
      <c r="B602">
        <v>24111.65</v>
      </c>
      <c r="C602">
        <v>24159.45</v>
      </c>
      <c r="D602">
        <v>24108.1</v>
      </c>
      <c r="E602">
        <v>24148.9</v>
      </c>
      <c r="F602" s="2">
        <f t="shared" si="28"/>
        <v>51.350000000002183</v>
      </c>
      <c r="G602" s="3">
        <f t="shared" si="29"/>
        <v>43.253275943443327</v>
      </c>
      <c r="H602" t="str">
        <f t="shared" si="27"/>
        <v>2026-07</v>
      </c>
      <c r="I602">
        <v>3</v>
      </c>
    </row>
    <row r="603" spans="1:9" x14ac:dyDescent="0.25">
      <c r="A603" t="s">
        <v>608</v>
      </c>
      <c r="B603">
        <v>24148.05</v>
      </c>
      <c r="C603">
        <v>24155.45</v>
      </c>
      <c r="D603">
        <v>24124.25</v>
      </c>
      <c r="E603">
        <v>24129.7</v>
      </c>
      <c r="F603" s="2">
        <f t="shared" si="28"/>
        <v>31.200000000000728</v>
      </c>
      <c r="G603" s="3">
        <f t="shared" si="29"/>
        <v>42.392327661768853</v>
      </c>
      <c r="H603" t="str">
        <f t="shared" si="27"/>
        <v>2026-07</v>
      </c>
      <c r="I603">
        <v>3</v>
      </c>
    </row>
    <row r="604" spans="1:9" x14ac:dyDescent="0.25">
      <c r="A604" t="s">
        <v>609</v>
      </c>
      <c r="B604">
        <v>24129.45</v>
      </c>
      <c r="C604">
        <v>24130.799999999999</v>
      </c>
      <c r="D604">
        <v>24075.55</v>
      </c>
      <c r="E604">
        <v>24075.55</v>
      </c>
      <c r="F604" s="2">
        <f t="shared" si="28"/>
        <v>55.25</v>
      </c>
      <c r="G604" s="3">
        <f t="shared" si="29"/>
        <v>43.310732828785362</v>
      </c>
      <c r="H604" t="str">
        <f t="shared" si="27"/>
        <v>2026-07</v>
      </c>
      <c r="I604">
        <v>3</v>
      </c>
    </row>
    <row r="605" spans="1:9" x14ac:dyDescent="0.25">
      <c r="A605" t="s">
        <v>610</v>
      </c>
      <c r="B605">
        <v>24075.8</v>
      </c>
      <c r="C605">
        <v>24115.9</v>
      </c>
      <c r="D605">
        <v>24070.3</v>
      </c>
      <c r="E605">
        <v>24107.4</v>
      </c>
      <c r="F605" s="2">
        <f t="shared" si="28"/>
        <v>45.600000000002183</v>
      </c>
      <c r="G605" s="3">
        <f t="shared" si="29"/>
        <v>43.474251912443705</v>
      </c>
      <c r="H605" t="str">
        <f t="shared" si="27"/>
        <v>2026-07</v>
      </c>
      <c r="I605">
        <v>3</v>
      </c>
    </row>
    <row r="606" spans="1:9" x14ac:dyDescent="0.25">
      <c r="A606" t="s">
        <v>611</v>
      </c>
      <c r="B606">
        <v>24107.1</v>
      </c>
      <c r="C606">
        <v>24116</v>
      </c>
      <c r="D606">
        <v>24088.9</v>
      </c>
      <c r="E606">
        <v>24110.25</v>
      </c>
      <c r="F606" s="2">
        <f t="shared" si="28"/>
        <v>27.099999999998545</v>
      </c>
      <c r="G606" s="3">
        <f t="shared" si="29"/>
        <v>42.304662490126191</v>
      </c>
      <c r="H606" t="str">
        <f t="shared" si="27"/>
        <v>2026-07</v>
      </c>
      <c r="I606">
        <v>3</v>
      </c>
    </row>
    <row r="607" spans="1:9" x14ac:dyDescent="0.25">
      <c r="A607" t="s">
        <v>612</v>
      </c>
      <c r="B607">
        <v>24110.55</v>
      </c>
      <c r="C607">
        <v>24116.799999999999</v>
      </c>
      <c r="D607">
        <v>24101.8</v>
      </c>
      <c r="E607">
        <v>24111.200000000001</v>
      </c>
      <c r="F607" s="2">
        <f t="shared" si="28"/>
        <v>15</v>
      </c>
      <c r="G607" s="3">
        <f t="shared" si="29"/>
        <v>40.354329455117181</v>
      </c>
      <c r="H607" t="str">
        <f t="shared" si="27"/>
        <v>2026-07</v>
      </c>
      <c r="I607">
        <v>3</v>
      </c>
    </row>
    <row r="608" spans="1:9" x14ac:dyDescent="0.25">
      <c r="A608" t="s">
        <v>613</v>
      </c>
      <c r="B608">
        <v>24111.05</v>
      </c>
      <c r="C608">
        <v>24115.8</v>
      </c>
      <c r="D608">
        <v>24090.05</v>
      </c>
      <c r="E608">
        <v>24103.5</v>
      </c>
      <c r="F608" s="2">
        <f t="shared" si="28"/>
        <v>25.75</v>
      </c>
      <c r="G608" s="3">
        <f t="shared" si="29"/>
        <v>39.311163065465955</v>
      </c>
      <c r="H608" t="str">
        <f t="shared" si="27"/>
        <v>2026-07</v>
      </c>
      <c r="I608">
        <v>3</v>
      </c>
    </row>
    <row r="609" spans="1:9" x14ac:dyDescent="0.25">
      <c r="A609" t="s">
        <v>614</v>
      </c>
      <c r="B609">
        <v>24103.8</v>
      </c>
      <c r="C609">
        <v>24106.05</v>
      </c>
      <c r="D609">
        <v>24085.7</v>
      </c>
      <c r="E609">
        <v>24087.25</v>
      </c>
      <c r="F609" s="2">
        <f t="shared" si="28"/>
        <v>20.349999999998545</v>
      </c>
      <c r="G609" s="3">
        <f t="shared" si="29"/>
        <v>37.956794275075424</v>
      </c>
      <c r="H609" t="str">
        <f t="shared" si="27"/>
        <v>2026-07</v>
      </c>
      <c r="I609">
        <v>3</v>
      </c>
    </row>
    <row r="610" spans="1:9" x14ac:dyDescent="0.25">
      <c r="A610" t="s">
        <v>615</v>
      </c>
      <c r="B610">
        <v>24087.3</v>
      </c>
      <c r="C610">
        <v>24089.95</v>
      </c>
      <c r="D610">
        <v>24067.5</v>
      </c>
      <c r="E610">
        <v>24082.7</v>
      </c>
      <c r="F610" s="2">
        <f t="shared" si="28"/>
        <v>22.450000000000728</v>
      </c>
      <c r="G610" s="3">
        <f t="shared" si="29"/>
        <v>36.849166112570096</v>
      </c>
      <c r="H610" t="str">
        <f t="shared" si="27"/>
        <v>2026-07</v>
      </c>
      <c r="I610">
        <v>3</v>
      </c>
    </row>
    <row r="611" spans="1:9" x14ac:dyDescent="0.25">
      <c r="A611" t="s">
        <v>616</v>
      </c>
      <c r="B611">
        <v>24083.75</v>
      </c>
      <c r="C611">
        <v>24106.65</v>
      </c>
      <c r="D611">
        <v>24080.85</v>
      </c>
      <c r="E611">
        <v>24098.65</v>
      </c>
      <c r="F611" s="2">
        <f t="shared" si="28"/>
        <v>25.80000000000291</v>
      </c>
      <c r="G611" s="3">
        <f t="shared" si="29"/>
        <v>36.059939961672441</v>
      </c>
      <c r="H611" t="str">
        <f t="shared" si="27"/>
        <v>2026-07</v>
      </c>
      <c r="I611">
        <v>3</v>
      </c>
    </row>
    <row r="612" spans="1:9" x14ac:dyDescent="0.25">
      <c r="A612" t="s">
        <v>617</v>
      </c>
      <c r="B612">
        <v>24099.55</v>
      </c>
      <c r="C612">
        <v>24114.1</v>
      </c>
      <c r="D612">
        <v>24094.799999999999</v>
      </c>
      <c r="E612">
        <v>24113.200000000001</v>
      </c>
      <c r="F612" s="2">
        <f t="shared" si="28"/>
        <v>19.299999999999272</v>
      </c>
      <c r="G612" s="3">
        <f t="shared" si="29"/>
        <v>34.862801392981503</v>
      </c>
      <c r="H612" t="str">
        <f t="shared" si="27"/>
        <v>2026-07</v>
      </c>
      <c r="I612">
        <v>3</v>
      </c>
    </row>
    <row r="613" spans="1:9" x14ac:dyDescent="0.25">
      <c r="A613" t="s">
        <v>618</v>
      </c>
      <c r="B613">
        <v>24112.75</v>
      </c>
      <c r="C613">
        <v>24133.200000000001</v>
      </c>
      <c r="D613">
        <v>24106.55</v>
      </c>
      <c r="E613">
        <v>24131.8</v>
      </c>
      <c r="F613" s="2">
        <f t="shared" si="28"/>
        <v>26.650000000001455</v>
      </c>
      <c r="G613" s="3">
        <f t="shared" si="29"/>
        <v>34.276172722054355</v>
      </c>
      <c r="H613" t="str">
        <f t="shared" si="27"/>
        <v>2026-07</v>
      </c>
      <c r="I613">
        <v>3</v>
      </c>
    </row>
    <row r="614" spans="1:9" x14ac:dyDescent="0.25">
      <c r="A614" t="s">
        <v>619</v>
      </c>
      <c r="B614">
        <v>24131.75</v>
      </c>
      <c r="C614">
        <v>24137.7</v>
      </c>
      <c r="D614">
        <v>24116.75</v>
      </c>
      <c r="E614">
        <v>24122.2</v>
      </c>
      <c r="F614" s="2">
        <f t="shared" si="28"/>
        <v>20.950000000000728</v>
      </c>
      <c r="G614" s="3">
        <f t="shared" si="29"/>
        <v>33.324303241907664</v>
      </c>
      <c r="H614" t="str">
        <f t="shared" si="27"/>
        <v>2026-07</v>
      </c>
      <c r="I614">
        <v>3</v>
      </c>
    </row>
    <row r="615" spans="1:9" x14ac:dyDescent="0.25">
      <c r="A615" t="s">
        <v>620</v>
      </c>
      <c r="B615">
        <v>24121.8</v>
      </c>
      <c r="C615">
        <v>24133.45</v>
      </c>
      <c r="D615">
        <v>24113.599999999999</v>
      </c>
      <c r="E615">
        <v>24119.599999999999</v>
      </c>
      <c r="F615" s="2">
        <f t="shared" si="28"/>
        <v>19.850000000002183</v>
      </c>
      <c r="G615" s="3">
        <f t="shared" si="29"/>
        <v>32.361853010342983</v>
      </c>
      <c r="H615" t="str">
        <f t="shared" si="27"/>
        <v>2026-07</v>
      </c>
      <c r="I615">
        <v>3</v>
      </c>
    </row>
    <row r="616" spans="1:9" x14ac:dyDescent="0.25">
      <c r="A616" t="s">
        <v>621</v>
      </c>
      <c r="B616">
        <v>24119.4</v>
      </c>
      <c r="C616">
        <v>24145.8</v>
      </c>
      <c r="D616">
        <v>24115.75</v>
      </c>
      <c r="E616">
        <v>24145.5</v>
      </c>
      <c r="F616" s="2">
        <f t="shared" si="28"/>
        <v>30.049999999999272</v>
      </c>
      <c r="G616" s="3">
        <f t="shared" si="29"/>
        <v>32.196720652461288</v>
      </c>
      <c r="H616" t="str">
        <f t="shared" si="27"/>
        <v>2026-07</v>
      </c>
      <c r="I616">
        <v>3</v>
      </c>
    </row>
    <row r="617" spans="1:9" x14ac:dyDescent="0.25">
      <c r="A617" t="s">
        <v>622</v>
      </c>
      <c r="B617">
        <v>24143.25</v>
      </c>
      <c r="C617">
        <v>24155.35</v>
      </c>
      <c r="D617">
        <v>24137.75</v>
      </c>
      <c r="E617">
        <v>24142.85</v>
      </c>
      <c r="F617" s="2">
        <f t="shared" si="28"/>
        <v>17.599999999998545</v>
      </c>
      <c r="G617" s="3">
        <f t="shared" si="29"/>
        <v>31.154097748713948</v>
      </c>
      <c r="H617" t="str">
        <f t="shared" si="27"/>
        <v>2026-07</v>
      </c>
      <c r="I617">
        <v>3</v>
      </c>
    </row>
    <row r="618" spans="1:9" x14ac:dyDescent="0.25">
      <c r="A618" t="s">
        <v>623</v>
      </c>
      <c r="B618">
        <v>24141.75</v>
      </c>
      <c r="C618">
        <v>24152.400000000001</v>
      </c>
      <c r="D618">
        <v>24128.55</v>
      </c>
      <c r="E618">
        <v>24134.400000000001</v>
      </c>
      <c r="F618" s="2">
        <f t="shared" si="28"/>
        <v>23.850000000002183</v>
      </c>
      <c r="G618" s="3">
        <f t="shared" si="29"/>
        <v>30.632376480948825</v>
      </c>
      <c r="H618" t="str">
        <f t="shared" si="27"/>
        <v>2026-07</v>
      </c>
      <c r="I618">
        <v>3</v>
      </c>
    </row>
    <row r="619" spans="1:9" x14ac:dyDescent="0.25">
      <c r="A619" t="s">
        <v>624</v>
      </c>
      <c r="B619">
        <v>24134.2</v>
      </c>
      <c r="C619">
        <v>24140.799999999999</v>
      </c>
      <c r="D619">
        <v>24126</v>
      </c>
      <c r="E619">
        <v>24131.75</v>
      </c>
      <c r="F619" s="2">
        <f t="shared" si="28"/>
        <v>14.799999999999272</v>
      </c>
      <c r="G619" s="3">
        <f t="shared" si="29"/>
        <v>29.501492446595286</v>
      </c>
      <c r="H619" t="str">
        <f t="shared" si="27"/>
        <v>2026-07</v>
      </c>
      <c r="I619">
        <v>3</v>
      </c>
    </row>
    <row r="620" spans="1:9" x14ac:dyDescent="0.25">
      <c r="A620" t="s">
        <v>625</v>
      </c>
      <c r="B620">
        <v>24131.200000000001</v>
      </c>
      <c r="C620">
        <v>24142.85</v>
      </c>
      <c r="D620">
        <v>24128.85</v>
      </c>
      <c r="E620">
        <v>24131.75</v>
      </c>
      <c r="F620" s="2">
        <f t="shared" si="28"/>
        <v>14</v>
      </c>
      <c r="G620" s="3">
        <f t="shared" si="29"/>
        <v>28.394242986124194</v>
      </c>
      <c r="H620" t="str">
        <f t="shared" si="27"/>
        <v>2026-07</v>
      </c>
      <c r="I620">
        <v>3</v>
      </c>
    </row>
    <row r="621" spans="1:9" x14ac:dyDescent="0.25">
      <c r="A621" t="s">
        <v>626</v>
      </c>
      <c r="B621">
        <v>24132.3</v>
      </c>
      <c r="C621">
        <v>24155.3</v>
      </c>
      <c r="D621">
        <v>24127.4</v>
      </c>
      <c r="E621">
        <v>24139.200000000001</v>
      </c>
      <c r="F621" s="2">
        <f t="shared" si="28"/>
        <v>27.899999999997817</v>
      </c>
      <c r="G621" s="3">
        <f t="shared" si="29"/>
        <v>28.358939915686594</v>
      </c>
      <c r="H621" t="str">
        <f t="shared" si="27"/>
        <v>2026-07</v>
      </c>
      <c r="I621">
        <v>3</v>
      </c>
    </row>
    <row r="622" spans="1:9" x14ac:dyDescent="0.25">
      <c r="A622" t="s">
        <v>627</v>
      </c>
      <c r="B622">
        <v>24140.15</v>
      </c>
      <c r="C622">
        <v>24183.95</v>
      </c>
      <c r="D622">
        <v>24138.95</v>
      </c>
      <c r="E622">
        <v>24176.85</v>
      </c>
      <c r="F622" s="2">
        <f t="shared" si="28"/>
        <v>45</v>
      </c>
      <c r="G622" s="3">
        <f t="shared" si="29"/>
        <v>29.547587064566123</v>
      </c>
      <c r="H622" t="str">
        <f t="shared" si="27"/>
        <v>2026-07</v>
      </c>
      <c r="I622">
        <v>3</v>
      </c>
    </row>
    <row r="623" spans="1:9" x14ac:dyDescent="0.25">
      <c r="A623" t="s">
        <v>628</v>
      </c>
      <c r="B623">
        <v>24176.799999999999</v>
      </c>
      <c r="C623">
        <v>24194.55</v>
      </c>
      <c r="D623">
        <v>24172.6</v>
      </c>
      <c r="E623">
        <v>24189.55</v>
      </c>
      <c r="F623" s="2">
        <f t="shared" si="28"/>
        <v>21.950000000000728</v>
      </c>
      <c r="G623" s="3">
        <f t="shared" si="29"/>
        <v>29.00490227424002</v>
      </c>
      <c r="H623" t="str">
        <f t="shared" si="27"/>
        <v>2026-07</v>
      </c>
      <c r="I623">
        <v>3</v>
      </c>
    </row>
    <row r="624" spans="1:9" x14ac:dyDescent="0.25">
      <c r="A624" t="s">
        <v>629</v>
      </c>
      <c r="B624">
        <v>24190.75</v>
      </c>
      <c r="C624">
        <v>24193.4</v>
      </c>
      <c r="D624">
        <v>24169.4</v>
      </c>
      <c r="E624">
        <v>24175.8</v>
      </c>
      <c r="F624" s="2">
        <f t="shared" si="28"/>
        <v>24</v>
      </c>
      <c r="G624" s="3">
        <f t="shared" si="29"/>
        <v>28.647409254651446</v>
      </c>
      <c r="H624" t="str">
        <f t="shared" si="27"/>
        <v>2026-07</v>
      </c>
      <c r="I624">
        <v>3</v>
      </c>
    </row>
    <row r="625" spans="1:9" x14ac:dyDescent="0.25">
      <c r="A625" t="s">
        <v>630</v>
      </c>
      <c r="B625">
        <v>24176.5</v>
      </c>
      <c r="C625">
        <v>24179.5</v>
      </c>
      <c r="D625">
        <v>24153.4</v>
      </c>
      <c r="E625">
        <v>24167.95</v>
      </c>
      <c r="F625" s="2">
        <f t="shared" si="28"/>
        <v>26.099999999998545</v>
      </c>
      <c r="G625" s="3">
        <f t="shared" si="29"/>
        <v>28.465451450747668</v>
      </c>
      <c r="H625" t="str">
        <f t="shared" si="27"/>
        <v>2026-07</v>
      </c>
      <c r="I625">
        <v>3</v>
      </c>
    </row>
    <row r="626" spans="1:9" x14ac:dyDescent="0.25">
      <c r="A626" t="s">
        <v>631</v>
      </c>
      <c r="B626">
        <v>24378.15</v>
      </c>
      <c r="C626">
        <v>24378.15</v>
      </c>
      <c r="D626">
        <v>24295.15</v>
      </c>
      <c r="E626">
        <v>24347.75</v>
      </c>
      <c r="F626" s="2">
        <f t="shared" si="28"/>
        <v>210.20000000000073</v>
      </c>
      <c r="G626" s="3">
        <f t="shared" si="29"/>
        <v>41.446490632837175</v>
      </c>
      <c r="H626" t="str">
        <f t="shared" si="27"/>
        <v>2026-07</v>
      </c>
      <c r="I626">
        <v>3</v>
      </c>
    </row>
    <row r="627" spans="1:9" x14ac:dyDescent="0.25">
      <c r="A627" t="s">
        <v>632</v>
      </c>
      <c r="B627">
        <v>24349</v>
      </c>
      <c r="C627">
        <v>24366.799999999999</v>
      </c>
      <c r="D627">
        <v>24334.5</v>
      </c>
      <c r="E627">
        <v>24337</v>
      </c>
      <c r="F627" s="2">
        <f t="shared" si="28"/>
        <v>32.299999999999272</v>
      </c>
      <c r="G627" s="3">
        <f t="shared" si="29"/>
        <v>40.793169873348752</v>
      </c>
      <c r="H627" t="str">
        <f t="shared" si="27"/>
        <v>2026-07</v>
      </c>
      <c r="I627">
        <v>3</v>
      </c>
    </row>
    <row r="628" spans="1:9" x14ac:dyDescent="0.25">
      <c r="A628" t="s">
        <v>633</v>
      </c>
      <c r="B628">
        <v>24336.799999999999</v>
      </c>
      <c r="C628">
        <v>24344.75</v>
      </c>
      <c r="D628">
        <v>24323</v>
      </c>
      <c r="E628">
        <v>24333.15</v>
      </c>
      <c r="F628" s="2">
        <f t="shared" si="28"/>
        <v>21.75</v>
      </c>
      <c r="G628" s="3">
        <f t="shared" si="29"/>
        <v>39.432943453823839</v>
      </c>
      <c r="H628" t="str">
        <f t="shared" si="27"/>
        <v>2026-07</v>
      </c>
      <c r="I628">
        <v>3</v>
      </c>
    </row>
    <row r="629" spans="1:9" x14ac:dyDescent="0.25">
      <c r="A629" t="s">
        <v>634</v>
      </c>
      <c r="B629">
        <v>24333.200000000001</v>
      </c>
      <c r="C629">
        <v>24342.25</v>
      </c>
      <c r="D629">
        <v>24311.85</v>
      </c>
      <c r="E629">
        <v>24329.95</v>
      </c>
      <c r="F629" s="2">
        <f t="shared" si="28"/>
        <v>30.400000000001455</v>
      </c>
      <c r="G629" s="3">
        <f t="shared" si="29"/>
        <v>38.787733207122237</v>
      </c>
      <c r="H629" t="str">
        <f t="shared" si="27"/>
        <v>2026-07</v>
      </c>
      <c r="I629">
        <v>3</v>
      </c>
    </row>
    <row r="630" spans="1:9" x14ac:dyDescent="0.25">
      <c r="A630" t="s">
        <v>635</v>
      </c>
      <c r="B630">
        <v>24330.6</v>
      </c>
      <c r="C630">
        <v>24352.65</v>
      </c>
      <c r="D630">
        <v>24315.4</v>
      </c>
      <c r="E630">
        <v>24344.55</v>
      </c>
      <c r="F630" s="2">
        <f t="shared" si="28"/>
        <v>37.25</v>
      </c>
      <c r="G630" s="3">
        <f t="shared" si="29"/>
        <v>38.677895120899215</v>
      </c>
      <c r="H630" t="str">
        <f t="shared" si="27"/>
        <v>2026-07</v>
      </c>
      <c r="I630">
        <v>3</v>
      </c>
    </row>
    <row r="631" spans="1:9" x14ac:dyDescent="0.25">
      <c r="A631" t="s">
        <v>636</v>
      </c>
      <c r="B631">
        <v>24345.1</v>
      </c>
      <c r="C631">
        <v>24351.5</v>
      </c>
      <c r="D631">
        <v>24335.55</v>
      </c>
      <c r="E631">
        <v>24339.65</v>
      </c>
      <c r="F631" s="2">
        <f t="shared" si="28"/>
        <v>15.950000000000728</v>
      </c>
      <c r="G631" s="3">
        <f t="shared" si="29"/>
        <v>37.054474040835039</v>
      </c>
      <c r="H631" t="str">
        <f t="shared" si="27"/>
        <v>2026-07</v>
      </c>
      <c r="I631">
        <v>3</v>
      </c>
    </row>
    <row r="632" spans="1:9" x14ac:dyDescent="0.25">
      <c r="A632" t="s">
        <v>637</v>
      </c>
      <c r="B632">
        <v>24340.35</v>
      </c>
      <c r="C632">
        <v>24349.5</v>
      </c>
      <c r="D632">
        <v>24336.799999999999</v>
      </c>
      <c r="E632">
        <v>24340.05</v>
      </c>
      <c r="F632" s="2">
        <f t="shared" si="28"/>
        <v>12.700000000000728</v>
      </c>
      <c r="G632" s="3">
        <f t="shared" si="29"/>
        <v>35.314868752204021</v>
      </c>
      <c r="H632" t="str">
        <f t="shared" si="27"/>
        <v>2026-07</v>
      </c>
      <c r="I632">
        <v>3</v>
      </c>
    </row>
    <row r="633" spans="1:9" x14ac:dyDescent="0.25">
      <c r="A633" t="s">
        <v>638</v>
      </c>
      <c r="B633">
        <v>24340.75</v>
      </c>
      <c r="C633">
        <v>24354</v>
      </c>
      <c r="D633">
        <v>24320.65</v>
      </c>
      <c r="E633">
        <v>24323</v>
      </c>
      <c r="F633" s="2">
        <f t="shared" si="28"/>
        <v>33.349999999998545</v>
      </c>
      <c r="G633" s="3">
        <f t="shared" si="29"/>
        <v>35.174520984189343</v>
      </c>
      <c r="H633" t="str">
        <f t="shared" si="27"/>
        <v>2026-07</v>
      </c>
      <c r="I633">
        <v>3</v>
      </c>
    </row>
    <row r="634" spans="1:9" x14ac:dyDescent="0.25">
      <c r="A634" t="s">
        <v>639</v>
      </c>
      <c r="B634">
        <v>24322.7</v>
      </c>
      <c r="C634">
        <v>24333.5</v>
      </c>
      <c r="D634">
        <v>24319.1</v>
      </c>
      <c r="E634">
        <v>24328.3</v>
      </c>
      <c r="F634" s="2">
        <f t="shared" si="28"/>
        <v>14.400000000001455</v>
      </c>
      <c r="G634" s="3">
        <f t="shared" si="29"/>
        <v>33.690626628175927</v>
      </c>
      <c r="H634" t="str">
        <f t="shared" si="27"/>
        <v>2026-07</v>
      </c>
      <c r="I634">
        <v>3</v>
      </c>
    </row>
    <row r="635" spans="1:9" x14ac:dyDescent="0.25">
      <c r="A635" t="s">
        <v>640</v>
      </c>
      <c r="B635">
        <v>24328.35</v>
      </c>
      <c r="C635">
        <v>24345.8</v>
      </c>
      <c r="D635">
        <v>24322.9</v>
      </c>
      <c r="E635">
        <v>24338.400000000001</v>
      </c>
      <c r="F635" s="2">
        <f t="shared" si="28"/>
        <v>22.899999999997817</v>
      </c>
      <c r="G635" s="3">
        <f t="shared" si="29"/>
        <v>32.919867583306065</v>
      </c>
      <c r="H635" t="str">
        <f t="shared" si="27"/>
        <v>2026-07</v>
      </c>
      <c r="I635">
        <v>3</v>
      </c>
    </row>
    <row r="636" spans="1:9" x14ac:dyDescent="0.25">
      <c r="A636" t="s">
        <v>641</v>
      </c>
      <c r="B636">
        <v>24338.25</v>
      </c>
      <c r="C636">
        <v>24356.799999999999</v>
      </c>
      <c r="D636">
        <v>24334.65</v>
      </c>
      <c r="E636">
        <v>24356.15</v>
      </c>
      <c r="F636" s="2">
        <f t="shared" si="28"/>
        <v>22.149999999997817</v>
      </c>
      <c r="G636" s="3">
        <f t="shared" si="29"/>
        <v>32.150591327355478</v>
      </c>
      <c r="H636" t="str">
        <f t="shared" si="27"/>
        <v>2026-07</v>
      </c>
      <c r="I636">
        <v>3</v>
      </c>
    </row>
    <row r="637" spans="1:9" x14ac:dyDescent="0.25">
      <c r="A637" t="s">
        <v>642</v>
      </c>
      <c r="B637">
        <v>24353.4</v>
      </c>
      <c r="C637">
        <v>24373.25</v>
      </c>
      <c r="D637">
        <v>24350.799999999999</v>
      </c>
      <c r="E637">
        <v>24369.65</v>
      </c>
      <c r="F637" s="2">
        <f t="shared" si="28"/>
        <v>22.450000000000728</v>
      </c>
      <c r="G637" s="3">
        <f t="shared" si="29"/>
        <v>31.457691946830142</v>
      </c>
      <c r="H637" t="str">
        <f t="shared" si="27"/>
        <v>2026-07</v>
      </c>
      <c r="I637">
        <v>3</v>
      </c>
    </row>
    <row r="638" spans="1:9" x14ac:dyDescent="0.25">
      <c r="A638" t="s">
        <v>643</v>
      </c>
      <c r="B638">
        <v>24370</v>
      </c>
      <c r="C638">
        <v>24373.35</v>
      </c>
      <c r="D638">
        <v>24352.95</v>
      </c>
      <c r="E638">
        <v>24361.55</v>
      </c>
      <c r="F638" s="2">
        <f t="shared" si="28"/>
        <v>20.399999999997817</v>
      </c>
      <c r="G638" s="3">
        <f t="shared" si="29"/>
        <v>30.667856807770693</v>
      </c>
      <c r="H638" t="str">
        <f t="shared" si="27"/>
        <v>2026-07</v>
      </c>
      <c r="I638">
        <v>3</v>
      </c>
    </row>
    <row r="639" spans="1:9" x14ac:dyDescent="0.25">
      <c r="A639" t="s">
        <v>644</v>
      </c>
      <c r="B639">
        <v>24362.15</v>
      </c>
      <c r="C639">
        <v>24365</v>
      </c>
      <c r="D639">
        <v>24339.4</v>
      </c>
      <c r="E639">
        <v>24345.200000000001</v>
      </c>
      <c r="F639" s="2">
        <f t="shared" si="28"/>
        <v>25.599999999998545</v>
      </c>
      <c r="G639" s="3">
        <f t="shared" si="29"/>
        <v>30.305867035786971</v>
      </c>
      <c r="H639" t="str">
        <f t="shared" si="27"/>
        <v>2026-07</v>
      </c>
      <c r="I639">
        <v>3</v>
      </c>
    </row>
    <row r="640" spans="1:9" x14ac:dyDescent="0.25">
      <c r="A640" t="s">
        <v>645</v>
      </c>
      <c r="B640">
        <v>24345.55</v>
      </c>
      <c r="C640">
        <v>24361.25</v>
      </c>
      <c r="D640">
        <v>24341.7</v>
      </c>
      <c r="E640">
        <v>24353.35</v>
      </c>
      <c r="F640" s="2">
        <f t="shared" si="28"/>
        <v>19.549999999999272</v>
      </c>
      <c r="G640" s="3">
        <f t="shared" si="29"/>
        <v>29.537590818944995</v>
      </c>
      <c r="H640" t="str">
        <f t="shared" si="27"/>
        <v>2026-07</v>
      </c>
      <c r="I640">
        <v>3</v>
      </c>
    </row>
    <row r="641" spans="1:9" x14ac:dyDescent="0.25">
      <c r="A641" t="s">
        <v>646</v>
      </c>
      <c r="B641">
        <v>24353.45</v>
      </c>
      <c r="C641">
        <v>24355.45</v>
      </c>
      <c r="D641">
        <v>24309.95</v>
      </c>
      <c r="E641">
        <v>24324.55</v>
      </c>
      <c r="F641" s="2">
        <f t="shared" si="28"/>
        <v>45.5</v>
      </c>
      <c r="G641" s="3">
        <f t="shared" si="29"/>
        <v>30.677762903306068</v>
      </c>
      <c r="H641" t="str">
        <f t="shared" si="27"/>
        <v>2026-07</v>
      </c>
      <c r="I641">
        <v>3</v>
      </c>
    </row>
    <row r="642" spans="1:9" x14ac:dyDescent="0.25">
      <c r="A642" t="s">
        <v>647</v>
      </c>
      <c r="B642">
        <v>24324.3</v>
      </c>
      <c r="C642">
        <v>24325.8</v>
      </c>
      <c r="D642">
        <v>24302.85</v>
      </c>
      <c r="E642">
        <v>24305.9</v>
      </c>
      <c r="F642" s="2">
        <f t="shared" si="28"/>
        <v>22.950000000000728</v>
      </c>
      <c r="G642" s="3">
        <f t="shared" si="29"/>
        <v>30.125779838784258</v>
      </c>
      <c r="H642" t="str">
        <f t="shared" ref="H642:H705" si="30">LEFT(A642,7)</f>
        <v>2026-07</v>
      </c>
      <c r="I642">
        <v>3</v>
      </c>
    </row>
    <row r="643" spans="1:9" x14ac:dyDescent="0.25">
      <c r="A643" t="s">
        <v>648</v>
      </c>
      <c r="B643">
        <v>24305.95</v>
      </c>
      <c r="C643">
        <v>24308.65</v>
      </c>
      <c r="D643">
        <v>24272.65</v>
      </c>
      <c r="E643">
        <v>24288.2</v>
      </c>
      <c r="F643" s="2">
        <f t="shared" ref="F643:F706" si="31">MAX(C643-D643,ABS(C643-E642),ABS(D643-E642))</f>
        <v>36</v>
      </c>
      <c r="G643" s="3">
        <f t="shared" si="29"/>
        <v>30.545366993156811</v>
      </c>
      <c r="H643" t="str">
        <f t="shared" si="30"/>
        <v>2026-07</v>
      </c>
      <c r="I643">
        <v>3</v>
      </c>
    </row>
    <row r="644" spans="1:9" x14ac:dyDescent="0.25">
      <c r="A644" t="s">
        <v>649</v>
      </c>
      <c r="B644">
        <v>24288.9</v>
      </c>
      <c r="C644">
        <v>24298.1</v>
      </c>
      <c r="D644">
        <v>24278.9</v>
      </c>
      <c r="E644">
        <v>24285.25</v>
      </c>
      <c r="F644" s="2">
        <f t="shared" si="31"/>
        <v>19.19999999999709</v>
      </c>
      <c r="G644" s="3">
        <f t="shared" si="29"/>
        <v>29.734983636502545</v>
      </c>
      <c r="H644" t="str">
        <f t="shared" si="30"/>
        <v>2026-07</v>
      </c>
      <c r="I644">
        <v>3</v>
      </c>
    </row>
    <row r="645" spans="1:9" x14ac:dyDescent="0.25">
      <c r="A645" t="s">
        <v>650</v>
      </c>
      <c r="B645">
        <v>24285.45</v>
      </c>
      <c r="C645">
        <v>24297.25</v>
      </c>
      <c r="D645">
        <v>24278.55</v>
      </c>
      <c r="E645">
        <v>24287.3</v>
      </c>
      <c r="F645" s="2">
        <f t="shared" si="31"/>
        <v>18.700000000000728</v>
      </c>
      <c r="G645" s="3">
        <f t="shared" si="29"/>
        <v>28.946770519609554</v>
      </c>
      <c r="H645" t="str">
        <f t="shared" si="30"/>
        <v>2026-07</v>
      </c>
      <c r="I645">
        <v>3</v>
      </c>
    </row>
    <row r="646" spans="1:9" x14ac:dyDescent="0.25">
      <c r="A646" t="s">
        <v>651</v>
      </c>
      <c r="B646">
        <v>24287.4</v>
      </c>
      <c r="C646">
        <v>24288.5</v>
      </c>
      <c r="D646">
        <v>24264.799999999999</v>
      </c>
      <c r="E646">
        <v>24267.8</v>
      </c>
      <c r="F646" s="2">
        <f t="shared" si="31"/>
        <v>23.700000000000728</v>
      </c>
      <c r="G646" s="3">
        <f t="shared" si="29"/>
        <v>28.572001196780352</v>
      </c>
      <c r="H646" t="str">
        <f t="shared" si="30"/>
        <v>2026-07</v>
      </c>
      <c r="I646">
        <v>3</v>
      </c>
    </row>
    <row r="647" spans="1:9" x14ac:dyDescent="0.25">
      <c r="A647" t="s">
        <v>652</v>
      </c>
      <c r="B647">
        <v>24267.85</v>
      </c>
      <c r="C647">
        <v>24287.55</v>
      </c>
      <c r="D647">
        <v>24265.3</v>
      </c>
      <c r="E647">
        <v>24271.15</v>
      </c>
      <c r="F647" s="2">
        <f t="shared" si="31"/>
        <v>22.25</v>
      </c>
      <c r="G647" s="3">
        <f t="shared" si="29"/>
        <v>28.120429682724613</v>
      </c>
      <c r="H647" t="str">
        <f t="shared" si="30"/>
        <v>2026-07</v>
      </c>
      <c r="I647">
        <v>3</v>
      </c>
    </row>
    <row r="648" spans="1:9" x14ac:dyDescent="0.25">
      <c r="A648" t="s">
        <v>653</v>
      </c>
      <c r="B648">
        <v>24271.65</v>
      </c>
      <c r="C648">
        <v>24280.05</v>
      </c>
      <c r="D648">
        <v>24252.35</v>
      </c>
      <c r="E648">
        <v>24256.75</v>
      </c>
      <c r="F648" s="2">
        <f t="shared" si="31"/>
        <v>27.700000000000728</v>
      </c>
      <c r="G648" s="3">
        <f t="shared" si="29"/>
        <v>28.090398991101477</v>
      </c>
      <c r="H648" t="str">
        <f t="shared" si="30"/>
        <v>2026-07</v>
      </c>
      <c r="I648">
        <v>3</v>
      </c>
    </row>
    <row r="649" spans="1:9" x14ac:dyDescent="0.25">
      <c r="A649" t="s">
        <v>654</v>
      </c>
      <c r="B649">
        <v>24256.15</v>
      </c>
      <c r="C649">
        <v>24282.799999999999</v>
      </c>
      <c r="D649">
        <v>24256.15</v>
      </c>
      <c r="E649">
        <v>24272.7</v>
      </c>
      <c r="F649" s="2">
        <f t="shared" si="31"/>
        <v>26.649999999997817</v>
      </c>
      <c r="G649" s="3">
        <f t="shared" si="29"/>
        <v>27.987513348879787</v>
      </c>
      <c r="H649" t="str">
        <f t="shared" si="30"/>
        <v>2026-07</v>
      </c>
      <c r="I649">
        <v>3</v>
      </c>
    </row>
    <row r="650" spans="1:9" x14ac:dyDescent="0.25">
      <c r="A650" t="s">
        <v>655</v>
      </c>
      <c r="B650">
        <v>24272.1</v>
      </c>
      <c r="C650">
        <v>24275.9</v>
      </c>
      <c r="D650">
        <v>24258.75</v>
      </c>
      <c r="E650">
        <v>24271.599999999999</v>
      </c>
      <c r="F650" s="2">
        <f t="shared" si="31"/>
        <v>17.150000000001455</v>
      </c>
      <c r="G650" s="3">
        <f t="shared" si="29"/>
        <v>27.213405252531338</v>
      </c>
      <c r="H650" t="str">
        <f t="shared" si="30"/>
        <v>2026-07</v>
      </c>
      <c r="I650">
        <v>3</v>
      </c>
    </row>
    <row r="651" spans="1:9" x14ac:dyDescent="0.25">
      <c r="A651" t="s">
        <v>656</v>
      </c>
      <c r="B651">
        <v>24311.35</v>
      </c>
      <c r="C651">
        <v>24360.15</v>
      </c>
      <c r="D651">
        <v>24287.1</v>
      </c>
      <c r="E651">
        <v>24352.95</v>
      </c>
      <c r="F651" s="2">
        <f t="shared" si="31"/>
        <v>88.55000000000291</v>
      </c>
      <c r="G651" s="3">
        <f t="shared" si="29"/>
        <v>31.59459059163645</v>
      </c>
      <c r="H651" t="str">
        <f t="shared" si="30"/>
        <v>2026-07</v>
      </c>
      <c r="I651">
        <v>3</v>
      </c>
    </row>
    <row r="652" spans="1:9" x14ac:dyDescent="0.25">
      <c r="A652" t="s">
        <v>657</v>
      </c>
      <c r="B652">
        <v>24352.5</v>
      </c>
      <c r="C652">
        <v>24379.9</v>
      </c>
      <c r="D652">
        <v>24351.4</v>
      </c>
      <c r="E652">
        <v>24368.75</v>
      </c>
      <c r="F652" s="2">
        <f t="shared" si="31"/>
        <v>28.5</v>
      </c>
      <c r="G652" s="3">
        <f t="shared" si="29"/>
        <v>31.373548406519564</v>
      </c>
      <c r="H652" t="str">
        <f t="shared" si="30"/>
        <v>2026-07</v>
      </c>
      <c r="I652">
        <v>3</v>
      </c>
    </row>
    <row r="653" spans="1:9" x14ac:dyDescent="0.25">
      <c r="A653" t="s">
        <v>658</v>
      </c>
      <c r="B653">
        <v>24368.9</v>
      </c>
      <c r="C653">
        <v>24394.400000000001</v>
      </c>
      <c r="D653">
        <v>24366</v>
      </c>
      <c r="E653">
        <v>24384.45</v>
      </c>
      <c r="F653" s="2">
        <f t="shared" si="31"/>
        <v>28.400000000001455</v>
      </c>
      <c r="G653" s="3">
        <f t="shared" si="29"/>
        <v>31.161152091768269</v>
      </c>
      <c r="H653" t="str">
        <f t="shared" si="30"/>
        <v>2026-07</v>
      </c>
      <c r="I653">
        <v>3</v>
      </c>
    </row>
    <row r="654" spans="1:9" x14ac:dyDescent="0.25">
      <c r="A654" t="s">
        <v>659</v>
      </c>
      <c r="B654">
        <v>24384.65</v>
      </c>
      <c r="C654">
        <v>24395.8</v>
      </c>
      <c r="D654">
        <v>24366.3</v>
      </c>
      <c r="E654">
        <v>24369.95</v>
      </c>
      <c r="F654" s="2">
        <f t="shared" si="31"/>
        <v>29.5</v>
      </c>
      <c r="G654" s="3">
        <f t="shared" si="29"/>
        <v>31.042498370927678</v>
      </c>
      <c r="H654" t="str">
        <f t="shared" si="30"/>
        <v>2026-07</v>
      </c>
      <c r="I654">
        <v>3</v>
      </c>
    </row>
    <row r="655" spans="1:9" x14ac:dyDescent="0.25">
      <c r="A655" t="s">
        <v>660</v>
      </c>
      <c r="B655">
        <v>24370.15</v>
      </c>
      <c r="C655">
        <v>24414.65</v>
      </c>
      <c r="D655">
        <v>24368.45</v>
      </c>
      <c r="E655">
        <v>24405.4</v>
      </c>
      <c r="F655" s="2">
        <f t="shared" si="31"/>
        <v>46.200000000000728</v>
      </c>
      <c r="G655" s="3">
        <f t="shared" si="29"/>
        <v>32.125177058718613</v>
      </c>
      <c r="H655" t="str">
        <f t="shared" si="30"/>
        <v>2026-07</v>
      </c>
      <c r="I655">
        <v>3</v>
      </c>
    </row>
    <row r="656" spans="1:9" x14ac:dyDescent="0.25">
      <c r="A656" t="s">
        <v>661</v>
      </c>
      <c r="B656">
        <v>24405.95</v>
      </c>
      <c r="C656">
        <v>24414.25</v>
      </c>
      <c r="D656">
        <v>24390.2</v>
      </c>
      <c r="E656">
        <v>24403.1</v>
      </c>
      <c r="F656" s="2">
        <f t="shared" si="31"/>
        <v>24.049999999999272</v>
      </c>
      <c r="G656" s="3">
        <f t="shared" ref="G656:G719" si="32">(G655*13+F656)/14</f>
        <v>31.548378697381516</v>
      </c>
      <c r="H656" t="str">
        <f t="shared" si="30"/>
        <v>2026-07</v>
      </c>
      <c r="I656">
        <v>3</v>
      </c>
    </row>
    <row r="657" spans="1:9" x14ac:dyDescent="0.25">
      <c r="A657" t="s">
        <v>662</v>
      </c>
      <c r="B657">
        <v>24403.05</v>
      </c>
      <c r="C657">
        <v>24426.9</v>
      </c>
      <c r="D657">
        <v>24400.95</v>
      </c>
      <c r="E657">
        <v>24424.400000000001</v>
      </c>
      <c r="F657" s="2">
        <f t="shared" si="31"/>
        <v>25.950000000000728</v>
      </c>
      <c r="G657" s="3">
        <f t="shared" si="32"/>
        <v>31.148494504711461</v>
      </c>
      <c r="H657" t="str">
        <f t="shared" si="30"/>
        <v>2026-07</v>
      </c>
      <c r="I657">
        <v>3</v>
      </c>
    </row>
    <row r="658" spans="1:9" x14ac:dyDescent="0.25">
      <c r="A658" t="s">
        <v>663</v>
      </c>
      <c r="B658">
        <v>24424</v>
      </c>
      <c r="C658">
        <v>24428.05</v>
      </c>
      <c r="D658">
        <v>24411.4</v>
      </c>
      <c r="E658">
        <v>24415.4</v>
      </c>
      <c r="F658" s="2">
        <f t="shared" si="31"/>
        <v>16.649999999997817</v>
      </c>
      <c r="G658" s="3">
        <f t="shared" si="32"/>
        <v>30.112887754374775</v>
      </c>
      <c r="H658" t="str">
        <f t="shared" si="30"/>
        <v>2026-07</v>
      </c>
      <c r="I658">
        <v>3</v>
      </c>
    </row>
    <row r="659" spans="1:9" x14ac:dyDescent="0.25">
      <c r="A659" t="s">
        <v>664</v>
      </c>
      <c r="B659">
        <v>24415.85</v>
      </c>
      <c r="C659">
        <v>24427.05</v>
      </c>
      <c r="D659">
        <v>24403.1</v>
      </c>
      <c r="E659">
        <v>24419.05</v>
      </c>
      <c r="F659" s="2">
        <f t="shared" si="31"/>
        <v>23.950000000000728</v>
      </c>
      <c r="G659" s="3">
        <f t="shared" si="32"/>
        <v>29.6726814862052</v>
      </c>
      <c r="H659" t="str">
        <f t="shared" si="30"/>
        <v>2026-07</v>
      </c>
      <c r="I659">
        <v>3</v>
      </c>
    </row>
    <row r="660" spans="1:9" x14ac:dyDescent="0.25">
      <c r="A660" t="s">
        <v>665</v>
      </c>
      <c r="B660">
        <v>24419.200000000001</v>
      </c>
      <c r="C660">
        <v>24422.7</v>
      </c>
      <c r="D660">
        <v>24410.65</v>
      </c>
      <c r="E660">
        <v>24416.45</v>
      </c>
      <c r="F660" s="2">
        <f t="shared" si="31"/>
        <v>12.049999999999272</v>
      </c>
      <c r="G660" s="3">
        <f t="shared" si="32"/>
        <v>28.413918522904776</v>
      </c>
      <c r="H660" t="str">
        <f t="shared" si="30"/>
        <v>2026-07</v>
      </c>
      <c r="I660">
        <v>3</v>
      </c>
    </row>
    <row r="661" spans="1:9" x14ac:dyDescent="0.25">
      <c r="A661" t="s">
        <v>666</v>
      </c>
      <c r="B661">
        <v>24417.3</v>
      </c>
      <c r="C661">
        <v>24425.7</v>
      </c>
      <c r="D661">
        <v>24407.85</v>
      </c>
      <c r="E661">
        <v>24424.55</v>
      </c>
      <c r="F661" s="2">
        <f t="shared" si="31"/>
        <v>17.850000000002183</v>
      </c>
      <c r="G661" s="3">
        <f t="shared" si="32"/>
        <v>27.659352914126021</v>
      </c>
      <c r="H661" t="str">
        <f t="shared" si="30"/>
        <v>2026-07</v>
      </c>
      <c r="I661">
        <v>3</v>
      </c>
    </row>
    <row r="662" spans="1:9" x14ac:dyDescent="0.25">
      <c r="A662" t="s">
        <v>667</v>
      </c>
      <c r="B662">
        <v>24425.200000000001</v>
      </c>
      <c r="C662">
        <v>24443.75</v>
      </c>
      <c r="D662">
        <v>24420.1</v>
      </c>
      <c r="E662">
        <v>24443</v>
      </c>
      <c r="F662" s="2">
        <f t="shared" si="31"/>
        <v>23.650000000001455</v>
      </c>
      <c r="G662" s="3">
        <f t="shared" si="32"/>
        <v>27.372970563117125</v>
      </c>
      <c r="H662" t="str">
        <f t="shared" si="30"/>
        <v>2026-07</v>
      </c>
      <c r="I662">
        <v>3</v>
      </c>
    </row>
    <row r="663" spans="1:9" x14ac:dyDescent="0.25">
      <c r="A663" t="s">
        <v>668</v>
      </c>
      <c r="B663">
        <v>24443.25</v>
      </c>
      <c r="C663">
        <v>24446.55</v>
      </c>
      <c r="D663">
        <v>24434.5</v>
      </c>
      <c r="E663">
        <v>24440.1</v>
      </c>
      <c r="F663" s="2">
        <f t="shared" si="31"/>
        <v>12.049999999999272</v>
      </c>
      <c r="G663" s="3">
        <f t="shared" si="32"/>
        <v>26.278472665751565</v>
      </c>
      <c r="H663" t="str">
        <f t="shared" si="30"/>
        <v>2026-07</v>
      </c>
      <c r="I663">
        <v>3</v>
      </c>
    </row>
    <row r="664" spans="1:9" x14ac:dyDescent="0.25">
      <c r="A664" t="s">
        <v>669</v>
      </c>
      <c r="B664">
        <v>24441.25</v>
      </c>
      <c r="C664">
        <v>24453.5</v>
      </c>
      <c r="D664">
        <v>24437</v>
      </c>
      <c r="E664">
        <v>24442.65</v>
      </c>
      <c r="F664" s="2">
        <f t="shared" si="31"/>
        <v>16.5</v>
      </c>
      <c r="G664" s="3">
        <f t="shared" si="32"/>
        <v>25.580010332483596</v>
      </c>
      <c r="H664" t="str">
        <f t="shared" si="30"/>
        <v>2026-07</v>
      </c>
      <c r="I664">
        <v>3</v>
      </c>
    </row>
    <row r="665" spans="1:9" x14ac:dyDescent="0.25">
      <c r="A665" t="s">
        <v>670</v>
      </c>
      <c r="B665">
        <v>24444.3</v>
      </c>
      <c r="C665">
        <v>24446</v>
      </c>
      <c r="D665">
        <v>24425.599999999999</v>
      </c>
      <c r="E665">
        <v>24439.85</v>
      </c>
      <c r="F665" s="2">
        <f t="shared" si="31"/>
        <v>20.400000000001455</v>
      </c>
      <c r="G665" s="3">
        <f t="shared" si="32"/>
        <v>25.210009594449158</v>
      </c>
      <c r="H665" t="str">
        <f t="shared" si="30"/>
        <v>2026-07</v>
      </c>
      <c r="I665">
        <v>3</v>
      </c>
    </row>
    <row r="666" spans="1:9" x14ac:dyDescent="0.25">
      <c r="A666" t="s">
        <v>671</v>
      </c>
      <c r="B666">
        <v>24439.25</v>
      </c>
      <c r="C666">
        <v>24455.4</v>
      </c>
      <c r="D666">
        <v>24431.15</v>
      </c>
      <c r="E666">
        <v>24449.7</v>
      </c>
      <c r="F666" s="2">
        <f t="shared" si="31"/>
        <v>24.25</v>
      </c>
      <c r="G666" s="3">
        <f t="shared" si="32"/>
        <v>25.141437480559933</v>
      </c>
      <c r="H666" t="str">
        <f t="shared" si="30"/>
        <v>2026-07</v>
      </c>
      <c r="I666">
        <v>3</v>
      </c>
    </row>
    <row r="667" spans="1:9" x14ac:dyDescent="0.25">
      <c r="A667" t="s">
        <v>672</v>
      </c>
      <c r="B667">
        <v>24449.25</v>
      </c>
      <c r="C667">
        <v>24451.15</v>
      </c>
      <c r="D667">
        <v>24434.95</v>
      </c>
      <c r="E667">
        <v>24443.1</v>
      </c>
      <c r="F667" s="2">
        <f t="shared" si="31"/>
        <v>16.200000000000728</v>
      </c>
      <c r="G667" s="3">
        <f t="shared" si="32"/>
        <v>24.502763374805706</v>
      </c>
      <c r="H667" t="str">
        <f t="shared" si="30"/>
        <v>2026-07</v>
      </c>
      <c r="I667">
        <v>3</v>
      </c>
    </row>
    <row r="668" spans="1:9" x14ac:dyDescent="0.25">
      <c r="A668" t="s">
        <v>673</v>
      </c>
      <c r="B668">
        <v>24442.85</v>
      </c>
      <c r="C668">
        <v>24458.65</v>
      </c>
      <c r="D668">
        <v>24434</v>
      </c>
      <c r="E668">
        <v>24438.05</v>
      </c>
      <c r="F668" s="2">
        <f t="shared" si="31"/>
        <v>24.650000000001455</v>
      </c>
      <c r="G668" s="3">
        <f t="shared" si="32"/>
        <v>24.513280276605403</v>
      </c>
      <c r="H668" t="str">
        <f t="shared" si="30"/>
        <v>2026-07</v>
      </c>
      <c r="I668">
        <v>3</v>
      </c>
    </row>
    <row r="669" spans="1:9" x14ac:dyDescent="0.25">
      <c r="A669" t="s">
        <v>674</v>
      </c>
      <c r="B669">
        <v>24437.55</v>
      </c>
      <c r="C669">
        <v>24439.75</v>
      </c>
      <c r="D669">
        <v>24406.1</v>
      </c>
      <c r="E669">
        <v>24408.95</v>
      </c>
      <c r="F669" s="2">
        <f t="shared" si="31"/>
        <v>33.650000000001455</v>
      </c>
      <c r="G669" s="3">
        <f t="shared" si="32"/>
        <v>25.165903113990833</v>
      </c>
      <c r="H669" t="str">
        <f t="shared" si="30"/>
        <v>2026-07</v>
      </c>
      <c r="I669">
        <v>3</v>
      </c>
    </row>
    <row r="670" spans="1:9" x14ac:dyDescent="0.25">
      <c r="A670" t="s">
        <v>675</v>
      </c>
      <c r="B670">
        <v>24409.15</v>
      </c>
      <c r="C670">
        <v>24423.599999999999</v>
      </c>
      <c r="D670">
        <v>24399.15</v>
      </c>
      <c r="E670">
        <v>24400.55</v>
      </c>
      <c r="F670" s="2">
        <f t="shared" si="31"/>
        <v>24.44999999999709</v>
      </c>
      <c r="G670" s="3">
        <f t="shared" si="32"/>
        <v>25.114767177276995</v>
      </c>
      <c r="H670" t="str">
        <f t="shared" si="30"/>
        <v>2026-07</v>
      </c>
      <c r="I670">
        <v>3</v>
      </c>
    </row>
    <row r="671" spans="1:9" x14ac:dyDescent="0.25">
      <c r="A671" t="s">
        <v>676</v>
      </c>
      <c r="B671">
        <v>24400.85</v>
      </c>
      <c r="C671">
        <v>24416.2</v>
      </c>
      <c r="D671">
        <v>24396.35</v>
      </c>
      <c r="E671">
        <v>24405.25</v>
      </c>
      <c r="F671" s="2">
        <f t="shared" si="31"/>
        <v>19.850000000002183</v>
      </c>
      <c r="G671" s="3">
        <f t="shared" si="32"/>
        <v>24.738712378900225</v>
      </c>
      <c r="H671" t="str">
        <f t="shared" si="30"/>
        <v>2026-07</v>
      </c>
      <c r="I671">
        <v>3</v>
      </c>
    </row>
    <row r="672" spans="1:9" x14ac:dyDescent="0.25">
      <c r="A672" t="s">
        <v>677</v>
      </c>
      <c r="B672">
        <v>24405.599999999999</v>
      </c>
      <c r="C672">
        <v>24420.400000000001</v>
      </c>
      <c r="D672">
        <v>24395.1</v>
      </c>
      <c r="E672">
        <v>24395.85</v>
      </c>
      <c r="F672" s="2">
        <f t="shared" si="31"/>
        <v>25.30000000000291</v>
      </c>
      <c r="G672" s="3">
        <f t="shared" si="32"/>
        <v>24.778804351836129</v>
      </c>
      <c r="H672" t="str">
        <f t="shared" si="30"/>
        <v>2026-07</v>
      </c>
      <c r="I672">
        <v>3</v>
      </c>
    </row>
    <row r="673" spans="1:9" x14ac:dyDescent="0.25">
      <c r="A673" t="s">
        <v>678</v>
      </c>
      <c r="B673">
        <v>24397.1</v>
      </c>
      <c r="C673">
        <v>24417.1</v>
      </c>
      <c r="D673">
        <v>24382.400000000001</v>
      </c>
      <c r="E673">
        <v>24404.7</v>
      </c>
      <c r="F673" s="2">
        <f t="shared" si="31"/>
        <v>34.69999999999709</v>
      </c>
      <c r="G673" s="3">
        <f t="shared" si="32"/>
        <v>25.487461183847625</v>
      </c>
      <c r="H673" t="str">
        <f t="shared" si="30"/>
        <v>2026-07</v>
      </c>
      <c r="I673">
        <v>3</v>
      </c>
    </row>
    <row r="674" spans="1:9" x14ac:dyDescent="0.25">
      <c r="A674" t="s">
        <v>679</v>
      </c>
      <c r="B674">
        <v>24404.6</v>
      </c>
      <c r="C674">
        <v>24447.65</v>
      </c>
      <c r="D674">
        <v>24404.6</v>
      </c>
      <c r="E674">
        <v>24437.05</v>
      </c>
      <c r="F674" s="2">
        <f t="shared" si="31"/>
        <v>43.05000000000291</v>
      </c>
      <c r="G674" s="3">
        <f t="shared" si="32"/>
        <v>26.741928242144432</v>
      </c>
      <c r="H674" t="str">
        <f t="shared" si="30"/>
        <v>2026-07</v>
      </c>
      <c r="I674">
        <v>3</v>
      </c>
    </row>
    <row r="675" spans="1:9" x14ac:dyDescent="0.25">
      <c r="A675" t="s">
        <v>680</v>
      </c>
      <c r="B675">
        <v>24437.200000000001</v>
      </c>
      <c r="C675">
        <v>24441.4</v>
      </c>
      <c r="D675">
        <v>24417.95</v>
      </c>
      <c r="E675">
        <v>24423.75</v>
      </c>
      <c r="F675" s="2">
        <f t="shared" si="31"/>
        <v>23.450000000000728</v>
      </c>
      <c r="G675" s="3">
        <f t="shared" si="32"/>
        <v>26.506790510562741</v>
      </c>
      <c r="H675" t="str">
        <f t="shared" si="30"/>
        <v>2026-07</v>
      </c>
      <c r="I675">
        <v>3</v>
      </c>
    </row>
    <row r="676" spans="1:9" x14ac:dyDescent="0.25">
      <c r="A676" t="s">
        <v>681</v>
      </c>
      <c r="B676">
        <v>24471.5</v>
      </c>
      <c r="C676">
        <v>24488.45</v>
      </c>
      <c r="D676">
        <v>24427</v>
      </c>
      <c r="E676">
        <v>24455.85</v>
      </c>
      <c r="F676" s="2">
        <f t="shared" si="31"/>
        <v>64.700000000000728</v>
      </c>
      <c r="G676" s="3">
        <f t="shared" si="32"/>
        <v>29.234876902665455</v>
      </c>
      <c r="H676" t="str">
        <f t="shared" si="30"/>
        <v>2026-07</v>
      </c>
      <c r="I676">
        <v>3</v>
      </c>
    </row>
    <row r="677" spans="1:9" x14ac:dyDescent="0.25">
      <c r="A677" t="s">
        <v>682</v>
      </c>
      <c r="B677">
        <v>24456.799999999999</v>
      </c>
      <c r="C677">
        <v>24462.7</v>
      </c>
      <c r="D677">
        <v>24423.5</v>
      </c>
      <c r="E677">
        <v>24459.200000000001</v>
      </c>
      <c r="F677" s="2">
        <f t="shared" si="31"/>
        <v>39.200000000000728</v>
      </c>
      <c r="G677" s="3">
        <f t="shared" si="32"/>
        <v>29.946671409617974</v>
      </c>
      <c r="H677" t="str">
        <f t="shared" si="30"/>
        <v>2026-07</v>
      </c>
      <c r="I677">
        <v>3</v>
      </c>
    </row>
    <row r="678" spans="1:9" x14ac:dyDescent="0.25">
      <c r="A678" t="s">
        <v>683</v>
      </c>
      <c r="B678">
        <v>24458.9</v>
      </c>
      <c r="C678">
        <v>24476.799999999999</v>
      </c>
      <c r="D678">
        <v>24450.45</v>
      </c>
      <c r="E678">
        <v>24475.55</v>
      </c>
      <c r="F678" s="2">
        <f t="shared" si="31"/>
        <v>26.349999999998545</v>
      </c>
      <c r="G678" s="3">
        <f t="shared" si="32"/>
        <v>29.689766308930871</v>
      </c>
      <c r="H678" t="str">
        <f t="shared" si="30"/>
        <v>2026-07</v>
      </c>
      <c r="I678">
        <v>3</v>
      </c>
    </row>
    <row r="679" spans="1:9" x14ac:dyDescent="0.25">
      <c r="A679" t="s">
        <v>684</v>
      </c>
      <c r="B679">
        <v>24474.9</v>
      </c>
      <c r="C679">
        <v>24495.7</v>
      </c>
      <c r="D679">
        <v>24467.75</v>
      </c>
      <c r="E679">
        <v>24483.25</v>
      </c>
      <c r="F679" s="2">
        <f t="shared" si="31"/>
        <v>27.950000000000728</v>
      </c>
      <c r="G679" s="3">
        <f t="shared" si="32"/>
        <v>29.565497286864431</v>
      </c>
      <c r="H679" t="str">
        <f t="shared" si="30"/>
        <v>2026-07</v>
      </c>
      <c r="I679">
        <v>3</v>
      </c>
    </row>
    <row r="680" spans="1:9" x14ac:dyDescent="0.25">
      <c r="A680" t="s">
        <v>685</v>
      </c>
      <c r="B680">
        <v>24483.35</v>
      </c>
      <c r="C680">
        <v>24505.1</v>
      </c>
      <c r="D680">
        <v>24481.4</v>
      </c>
      <c r="E680">
        <v>24490.45</v>
      </c>
      <c r="F680" s="2">
        <f t="shared" si="31"/>
        <v>23.69999999999709</v>
      </c>
      <c r="G680" s="3">
        <f t="shared" si="32"/>
        <v>29.146533194945334</v>
      </c>
      <c r="H680" t="str">
        <f t="shared" si="30"/>
        <v>2026-07</v>
      </c>
      <c r="I680">
        <v>3</v>
      </c>
    </row>
    <row r="681" spans="1:9" x14ac:dyDescent="0.25">
      <c r="A681" t="s">
        <v>686</v>
      </c>
      <c r="B681">
        <v>24490.7</v>
      </c>
      <c r="C681">
        <v>24497.599999999999</v>
      </c>
      <c r="D681">
        <v>24469.1</v>
      </c>
      <c r="E681">
        <v>24470.15</v>
      </c>
      <c r="F681" s="2">
        <f t="shared" si="31"/>
        <v>28.5</v>
      </c>
      <c r="G681" s="3">
        <f t="shared" si="32"/>
        <v>29.100352252449238</v>
      </c>
      <c r="H681" t="str">
        <f t="shared" si="30"/>
        <v>2026-07</v>
      </c>
      <c r="I681">
        <v>3</v>
      </c>
    </row>
    <row r="682" spans="1:9" x14ac:dyDescent="0.25">
      <c r="A682" t="s">
        <v>687</v>
      </c>
      <c r="B682">
        <v>24470.7</v>
      </c>
      <c r="C682">
        <v>24491.1</v>
      </c>
      <c r="D682">
        <v>24465.35</v>
      </c>
      <c r="E682">
        <v>24480.75</v>
      </c>
      <c r="F682" s="2">
        <f t="shared" si="31"/>
        <v>25.75</v>
      </c>
      <c r="G682" s="3">
        <f t="shared" si="32"/>
        <v>28.86104137727429</v>
      </c>
      <c r="H682" t="str">
        <f t="shared" si="30"/>
        <v>2026-07</v>
      </c>
      <c r="I682">
        <v>3</v>
      </c>
    </row>
    <row r="683" spans="1:9" x14ac:dyDescent="0.25">
      <c r="A683" t="s">
        <v>688</v>
      </c>
      <c r="B683">
        <v>24480.85</v>
      </c>
      <c r="C683">
        <v>24518.1</v>
      </c>
      <c r="D683">
        <v>24480.05</v>
      </c>
      <c r="E683">
        <v>24512.6</v>
      </c>
      <c r="F683" s="2">
        <f t="shared" si="31"/>
        <v>38.049999999999272</v>
      </c>
      <c r="G683" s="3">
        <f t="shared" si="32"/>
        <v>29.517395564611792</v>
      </c>
      <c r="H683" t="str">
        <f t="shared" si="30"/>
        <v>2026-07</v>
      </c>
      <c r="I683">
        <v>3</v>
      </c>
    </row>
    <row r="684" spans="1:9" x14ac:dyDescent="0.25">
      <c r="A684" t="s">
        <v>689</v>
      </c>
      <c r="B684">
        <v>24512.55</v>
      </c>
      <c r="C684">
        <v>24525.75</v>
      </c>
      <c r="D684">
        <v>24502.25</v>
      </c>
      <c r="E684">
        <v>24519.55</v>
      </c>
      <c r="F684" s="2">
        <f t="shared" si="31"/>
        <v>23.5</v>
      </c>
      <c r="G684" s="3">
        <f t="shared" si="32"/>
        <v>29.087581595710951</v>
      </c>
      <c r="H684" t="str">
        <f t="shared" si="30"/>
        <v>2026-07</v>
      </c>
      <c r="I684">
        <v>3</v>
      </c>
    </row>
    <row r="685" spans="1:9" x14ac:dyDescent="0.25">
      <c r="A685" t="s">
        <v>690</v>
      </c>
      <c r="B685">
        <v>24519.4</v>
      </c>
      <c r="C685">
        <v>24524.3</v>
      </c>
      <c r="D685">
        <v>24507.85</v>
      </c>
      <c r="E685">
        <v>24510.400000000001</v>
      </c>
      <c r="F685" s="2">
        <f t="shared" si="31"/>
        <v>16.450000000000728</v>
      </c>
      <c r="G685" s="3">
        <f t="shared" si="32"/>
        <v>28.184897196017364</v>
      </c>
      <c r="H685" t="str">
        <f t="shared" si="30"/>
        <v>2026-07</v>
      </c>
      <c r="I685">
        <v>3</v>
      </c>
    </row>
    <row r="686" spans="1:9" x14ac:dyDescent="0.25">
      <c r="A686" t="s">
        <v>691</v>
      </c>
      <c r="B686">
        <v>24510.45</v>
      </c>
      <c r="C686">
        <v>24528</v>
      </c>
      <c r="D686">
        <v>24503.05</v>
      </c>
      <c r="E686">
        <v>24524.6</v>
      </c>
      <c r="F686" s="2">
        <f t="shared" si="31"/>
        <v>24.950000000000728</v>
      </c>
      <c r="G686" s="3">
        <f t="shared" si="32"/>
        <v>27.953833110587603</v>
      </c>
      <c r="H686" t="str">
        <f t="shared" si="30"/>
        <v>2026-07</v>
      </c>
      <c r="I686">
        <v>3</v>
      </c>
    </row>
    <row r="687" spans="1:9" x14ac:dyDescent="0.25">
      <c r="A687" t="s">
        <v>692</v>
      </c>
      <c r="B687">
        <v>24525.15</v>
      </c>
      <c r="C687">
        <v>24530.9</v>
      </c>
      <c r="D687">
        <v>24499.3</v>
      </c>
      <c r="E687">
        <v>24504.799999999999</v>
      </c>
      <c r="F687" s="2">
        <f t="shared" si="31"/>
        <v>31.600000000002183</v>
      </c>
      <c r="G687" s="3">
        <f t="shared" si="32"/>
        <v>28.214273602688646</v>
      </c>
      <c r="H687" t="str">
        <f t="shared" si="30"/>
        <v>2026-07</v>
      </c>
      <c r="I687">
        <v>3</v>
      </c>
    </row>
    <row r="688" spans="1:9" x14ac:dyDescent="0.25">
      <c r="A688" t="s">
        <v>693</v>
      </c>
      <c r="B688">
        <v>24504.7</v>
      </c>
      <c r="C688">
        <v>24511.8</v>
      </c>
      <c r="D688">
        <v>24485.9</v>
      </c>
      <c r="E688">
        <v>24493.1</v>
      </c>
      <c r="F688" s="2">
        <f t="shared" si="31"/>
        <v>25.899999999997817</v>
      </c>
      <c r="G688" s="3">
        <f t="shared" si="32"/>
        <v>28.048968345353586</v>
      </c>
      <c r="H688" t="str">
        <f t="shared" si="30"/>
        <v>2026-07</v>
      </c>
      <c r="I688">
        <v>3</v>
      </c>
    </row>
    <row r="689" spans="1:9" x14ac:dyDescent="0.25">
      <c r="A689" t="s">
        <v>694</v>
      </c>
      <c r="B689">
        <v>24492.95</v>
      </c>
      <c r="C689">
        <v>24495</v>
      </c>
      <c r="D689">
        <v>24446.05</v>
      </c>
      <c r="E689">
        <v>24472.400000000001</v>
      </c>
      <c r="F689" s="2">
        <f t="shared" si="31"/>
        <v>48.950000000000728</v>
      </c>
      <c r="G689" s="3">
        <f t="shared" si="32"/>
        <v>29.541899177828384</v>
      </c>
      <c r="H689" t="str">
        <f t="shared" si="30"/>
        <v>2026-07</v>
      </c>
      <c r="I689">
        <v>3</v>
      </c>
    </row>
    <row r="690" spans="1:9" x14ac:dyDescent="0.25">
      <c r="A690" t="s">
        <v>695</v>
      </c>
      <c r="B690">
        <v>24473.200000000001</v>
      </c>
      <c r="C690">
        <v>24479.65</v>
      </c>
      <c r="D690">
        <v>24448.5</v>
      </c>
      <c r="E690">
        <v>24468.55</v>
      </c>
      <c r="F690" s="2">
        <f t="shared" si="31"/>
        <v>31.150000000001455</v>
      </c>
      <c r="G690" s="3">
        <f t="shared" si="32"/>
        <v>29.656763522269319</v>
      </c>
      <c r="H690" t="str">
        <f t="shared" si="30"/>
        <v>2026-07</v>
      </c>
      <c r="I690">
        <v>3</v>
      </c>
    </row>
    <row r="691" spans="1:9" x14ac:dyDescent="0.25">
      <c r="A691" t="s">
        <v>696</v>
      </c>
      <c r="B691">
        <v>24467.7</v>
      </c>
      <c r="C691">
        <v>24468.45</v>
      </c>
      <c r="D691">
        <v>24425.45</v>
      </c>
      <c r="E691">
        <v>24436.45</v>
      </c>
      <c r="F691" s="2">
        <f t="shared" si="31"/>
        <v>43.099999999998545</v>
      </c>
      <c r="G691" s="3">
        <f t="shared" si="32"/>
        <v>30.616994699249979</v>
      </c>
      <c r="H691" t="str">
        <f t="shared" si="30"/>
        <v>2026-07</v>
      </c>
      <c r="I691">
        <v>3</v>
      </c>
    </row>
    <row r="692" spans="1:9" x14ac:dyDescent="0.25">
      <c r="A692" t="s">
        <v>697</v>
      </c>
      <c r="B692">
        <v>24436.2</v>
      </c>
      <c r="C692">
        <v>24445.15</v>
      </c>
      <c r="D692">
        <v>24419.599999999999</v>
      </c>
      <c r="E692">
        <v>24443.1</v>
      </c>
      <c r="F692" s="2">
        <f t="shared" si="31"/>
        <v>25.55000000000291</v>
      </c>
      <c r="G692" s="3">
        <f t="shared" si="32"/>
        <v>30.255066506446617</v>
      </c>
      <c r="H692" t="str">
        <f t="shared" si="30"/>
        <v>2026-07</v>
      </c>
      <c r="I692">
        <v>3</v>
      </c>
    </row>
    <row r="693" spans="1:9" x14ac:dyDescent="0.25">
      <c r="A693" t="s">
        <v>698</v>
      </c>
      <c r="B693">
        <v>24442.65</v>
      </c>
      <c r="C693">
        <v>24446.05</v>
      </c>
      <c r="D693">
        <v>24418.45</v>
      </c>
      <c r="E693">
        <v>24438.2</v>
      </c>
      <c r="F693" s="2">
        <f t="shared" si="31"/>
        <v>27.599999999998545</v>
      </c>
      <c r="G693" s="3">
        <f t="shared" si="32"/>
        <v>30.065418898843184</v>
      </c>
      <c r="H693" t="str">
        <f t="shared" si="30"/>
        <v>2026-07</v>
      </c>
      <c r="I693">
        <v>3</v>
      </c>
    </row>
    <row r="694" spans="1:9" x14ac:dyDescent="0.25">
      <c r="A694" t="s">
        <v>699</v>
      </c>
      <c r="B694">
        <v>24439</v>
      </c>
      <c r="C694">
        <v>24457.05</v>
      </c>
      <c r="D694">
        <v>24433.4</v>
      </c>
      <c r="E694">
        <v>24452.2</v>
      </c>
      <c r="F694" s="2">
        <f t="shared" si="31"/>
        <v>23.649999999997817</v>
      </c>
      <c r="G694" s="3">
        <f t="shared" si="32"/>
        <v>29.607174691782802</v>
      </c>
      <c r="H694" t="str">
        <f t="shared" si="30"/>
        <v>2026-07</v>
      </c>
      <c r="I694">
        <v>3</v>
      </c>
    </row>
    <row r="695" spans="1:9" x14ac:dyDescent="0.25">
      <c r="A695" t="s">
        <v>700</v>
      </c>
      <c r="B695">
        <v>24451.85</v>
      </c>
      <c r="C695">
        <v>24467.65</v>
      </c>
      <c r="D695">
        <v>24443.05</v>
      </c>
      <c r="E695">
        <v>24461.4</v>
      </c>
      <c r="F695" s="2">
        <f t="shared" si="31"/>
        <v>24.600000000002183</v>
      </c>
      <c r="G695" s="3">
        <f t="shared" si="32"/>
        <v>29.249519356655615</v>
      </c>
      <c r="H695" t="str">
        <f t="shared" si="30"/>
        <v>2026-07</v>
      </c>
      <c r="I695">
        <v>3</v>
      </c>
    </row>
    <row r="696" spans="1:9" x14ac:dyDescent="0.25">
      <c r="A696" t="s">
        <v>701</v>
      </c>
      <c r="B696">
        <v>24461.5</v>
      </c>
      <c r="C696">
        <v>24465.45</v>
      </c>
      <c r="D696">
        <v>24446.95</v>
      </c>
      <c r="E696">
        <v>24453.55</v>
      </c>
      <c r="F696" s="2">
        <f t="shared" si="31"/>
        <v>18.5</v>
      </c>
      <c r="G696" s="3">
        <f t="shared" si="32"/>
        <v>28.481696545465926</v>
      </c>
      <c r="H696" t="str">
        <f t="shared" si="30"/>
        <v>2026-07</v>
      </c>
      <c r="I696">
        <v>3</v>
      </c>
    </row>
    <row r="697" spans="1:9" x14ac:dyDescent="0.25">
      <c r="A697" t="s">
        <v>702</v>
      </c>
      <c r="B697">
        <v>24453.9</v>
      </c>
      <c r="C697">
        <v>24473.05</v>
      </c>
      <c r="D697">
        <v>24453.9</v>
      </c>
      <c r="E697">
        <v>24465.599999999999</v>
      </c>
      <c r="F697" s="2">
        <f t="shared" si="31"/>
        <v>19.5</v>
      </c>
      <c r="G697" s="3">
        <f t="shared" si="32"/>
        <v>27.840146792218359</v>
      </c>
      <c r="H697" t="str">
        <f t="shared" si="30"/>
        <v>2026-07</v>
      </c>
      <c r="I697">
        <v>3</v>
      </c>
    </row>
    <row r="698" spans="1:9" x14ac:dyDescent="0.25">
      <c r="A698" t="s">
        <v>703</v>
      </c>
      <c r="B698">
        <v>24465.55</v>
      </c>
      <c r="C698">
        <v>24471.4</v>
      </c>
      <c r="D698">
        <v>24453.85</v>
      </c>
      <c r="E698">
        <v>24456.1</v>
      </c>
      <c r="F698" s="2">
        <f t="shared" si="31"/>
        <v>17.55000000000291</v>
      </c>
      <c r="G698" s="3">
        <f t="shared" si="32"/>
        <v>27.105136307060114</v>
      </c>
      <c r="H698" t="str">
        <f t="shared" si="30"/>
        <v>2026-07</v>
      </c>
      <c r="I698">
        <v>3</v>
      </c>
    </row>
    <row r="699" spans="1:9" x14ac:dyDescent="0.25">
      <c r="A699" t="s">
        <v>704</v>
      </c>
      <c r="B699">
        <v>24456.400000000001</v>
      </c>
      <c r="C699">
        <v>24459.35</v>
      </c>
      <c r="D699">
        <v>24390.15</v>
      </c>
      <c r="E699">
        <v>24397.85</v>
      </c>
      <c r="F699" s="2">
        <f t="shared" si="31"/>
        <v>69.19999999999709</v>
      </c>
      <c r="G699" s="3">
        <f t="shared" si="32"/>
        <v>30.11191228512704</v>
      </c>
      <c r="H699" t="str">
        <f t="shared" si="30"/>
        <v>2026-07</v>
      </c>
      <c r="I699">
        <v>3</v>
      </c>
    </row>
    <row r="700" spans="1:9" x14ac:dyDescent="0.25">
      <c r="A700" t="s">
        <v>705</v>
      </c>
      <c r="B700">
        <v>24398.5</v>
      </c>
      <c r="C700">
        <v>24401.75</v>
      </c>
      <c r="D700">
        <v>24348.95</v>
      </c>
      <c r="E700">
        <v>24355.1</v>
      </c>
      <c r="F700" s="2">
        <f t="shared" si="31"/>
        <v>52.799999999999272</v>
      </c>
      <c r="G700" s="3">
        <f t="shared" si="32"/>
        <v>31.732489979046484</v>
      </c>
      <c r="H700" t="str">
        <f t="shared" si="30"/>
        <v>2026-07</v>
      </c>
      <c r="I700">
        <v>3</v>
      </c>
    </row>
    <row r="701" spans="1:9" x14ac:dyDescent="0.25">
      <c r="A701" t="s">
        <v>706</v>
      </c>
      <c r="B701">
        <v>24243.5</v>
      </c>
      <c r="C701">
        <v>24295.25</v>
      </c>
      <c r="D701">
        <v>24229.9</v>
      </c>
      <c r="E701">
        <v>24239.200000000001</v>
      </c>
      <c r="F701" s="2">
        <f t="shared" si="31"/>
        <v>125.19999999999709</v>
      </c>
      <c r="G701" s="3">
        <f t="shared" si="32"/>
        <v>38.408740694828673</v>
      </c>
      <c r="H701" t="str">
        <f t="shared" si="30"/>
        <v>2026-07</v>
      </c>
      <c r="I701">
        <v>3</v>
      </c>
    </row>
    <row r="702" spans="1:9" x14ac:dyDescent="0.25">
      <c r="A702" t="s">
        <v>707</v>
      </c>
      <c r="B702">
        <v>24239.599999999999</v>
      </c>
      <c r="C702">
        <v>24240.9</v>
      </c>
      <c r="D702">
        <v>24207.200000000001</v>
      </c>
      <c r="E702">
        <v>24226.15</v>
      </c>
      <c r="F702" s="2">
        <f t="shared" si="31"/>
        <v>33.700000000000728</v>
      </c>
      <c r="G702" s="3">
        <f t="shared" si="32"/>
        <v>38.072402073769531</v>
      </c>
      <c r="H702" t="str">
        <f t="shared" si="30"/>
        <v>2026-07</v>
      </c>
      <c r="I702">
        <v>3</v>
      </c>
    </row>
    <row r="703" spans="1:9" x14ac:dyDescent="0.25">
      <c r="A703" t="s">
        <v>708</v>
      </c>
      <c r="B703">
        <v>24227.45</v>
      </c>
      <c r="C703">
        <v>24267.15</v>
      </c>
      <c r="D703">
        <v>24223.35</v>
      </c>
      <c r="E703">
        <v>24251.75</v>
      </c>
      <c r="F703" s="2">
        <f t="shared" si="31"/>
        <v>43.80000000000291</v>
      </c>
      <c r="G703" s="3">
        <f t="shared" si="32"/>
        <v>38.481516211357629</v>
      </c>
      <c r="H703" t="str">
        <f t="shared" si="30"/>
        <v>2026-07</v>
      </c>
      <c r="I703">
        <v>3</v>
      </c>
    </row>
    <row r="704" spans="1:9" x14ac:dyDescent="0.25">
      <c r="A704" t="s">
        <v>709</v>
      </c>
      <c r="B704">
        <v>24250.85</v>
      </c>
      <c r="C704">
        <v>24258.1</v>
      </c>
      <c r="D704">
        <v>24233</v>
      </c>
      <c r="E704">
        <v>24238.2</v>
      </c>
      <c r="F704" s="2">
        <f t="shared" si="31"/>
        <v>25.099999999998545</v>
      </c>
      <c r="G704" s="3">
        <f t="shared" si="32"/>
        <v>37.525693624831987</v>
      </c>
      <c r="H704" t="str">
        <f t="shared" si="30"/>
        <v>2026-07</v>
      </c>
      <c r="I704">
        <v>3</v>
      </c>
    </row>
    <row r="705" spans="1:9" x14ac:dyDescent="0.25">
      <c r="A705" t="s">
        <v>710</v>
      </c>
      <c r="B705">
        <v>24236.2</v>
      </c>
      <c r="C705">
        <v>24251.5</v>
      </c>
      <c r="D705">
        <v>24219.25</v>
      </c>
      <c r="E705">
        <v>24245.200000000001</v>
      </c>
      <c r="F705" s="2">
        <f t="shared" si="31"/>
        <v>32.25</v>
      </c>
      <c r="G705" s="3">
        <f t="shared" si="32"/>
        <v>37.148858365915416</v>
      </c>
      <c r="H705" t="str">
        <f t="shared" si="30"/>
        <v>2026-07</v>
      </c>
      <c r="I705">
        <v>3</v>
      </c>
    </row>
    <row r="706" spans="1:9" x14ac:dyDescent="0.25">
      <c r="A706" t="s">
        <v>711</v>
      </c>
      <c r="B706">
        <v>24246.1</v>
      </c>
      <c r="C706">
        <v>24294.2</v>
      </c>
      <c r="D706">
        <v>24245.75</v>
      </c>
      <c r="E706">
        <v>24279.25</v>
      </c>
      <c r="F706" s="2">
        <f t="shared" si="31"/>
        <v>49</v>
      </c>
      <c r="G706" s="3">
        <f t="shared" si="32"/>
        <v>37.99536848263574</v>
      </c>
      <c r="H706" t="str">
        <f t="shared" ref="H706:H769" si="33">LEFT(A706,7)</f>
        <v>2026-07</v>
      </c>
      <c r="I706">
        <v>3</v>
      </c>
    </row>
    <row r="707" spans="1:9" x14ac:dyDescent="0.25">
      <c r="A707" t="s">
        <v>712</v>
      </c>
      <c r="B707">
        <v>24281.45</v>
      </c>
      <c r="C707">
        <v>24294.3</v>
      </c>
      <c r="D707">
        <v>24268.75</v>
      </c>
      <c r="E707">
        <v>24293.5</v>
      </c>
      <c r="F707" s="2">
        <f t="shared" ref="F707:F770" si="34">MAX(C707-D707,ABS(C707-E706),ABS(D707-E706))</f>
        <v>25.549999999999272</v>
      </c>
      <c r="G707" s="3">
        <f t="shared" si="32"/>
        <v>37.10641359101885</v>
      </c>
      <c r="H707" t="str">
        <f t="shared" si="33"/>
        <v>2026-07</v>
      </c>
      <c r="I707">
        <v>3</v>
      </c>
    </row>
    <row r="708" spans="1:9" x14ac:dyDescent="0.25">
      <c r="A708" t="s">
        <v>713</v>
      </c>
      <c r="B708">
        <v>24294.55</v>
      </c>
      <c r="C708">
        <v>24300</v>
      </c>
      <c r="D708">
        <v>24280.9</v>
      </c>
      <c r="E708">
        <v>24290.55</v>
      </c>
      <c r="F708" s="2">
        <f t="shared" si="34"/>
        <v>19.099999999998545</v>
      </c>
      <c r="G708" s="3">
        <f t="shared" si="32"/>
        <v>35.820241191660259</v>
      </c>
      <c r="H708" t="str">
        <f t="shared" si="33"/>
        <v>2026-07</v>
      </c>
      <c r="I708">
        <v>3</v>
      </c>
    </row>
    <row r="709" spans="1:9" x14ac:dyDescent="0.25">
      <c r="A709" t="s">
        <v>714</v>
      </c>
      <c r="B709">
        <v>24290.799999999999</v>
      </c>
      <c r="C709">
        <v>24294.400000000001</v>
      </c>
      <c r="D709">
        <v>24274.75</v>
      </c>
      <c r="E709">
        <v>24285.15</v>
      </c>
      <c r="F709" s="2">
        <f t="shared" si="34"/>
        <v>19.650000000001455</v>
      </c>
      <c r="G709" s="3">
        <f t="shared" si="32"/>
        <v>34.665223963684632</v>
      </c>
      <c r="H709" t="str">
        <f t="shared" si="33"/>
        <v>2026-07</v>
      </c>
      <c r="I709">
        <v>3</v>
      </c>
    </row>
    <row r="710" spans="1:9" x14ac:dyDescent="0.25">
      <c r="A710" t="s">
        <v>715</v>
      </c>
      <c r="B710">
        <v>24286.2</v>
      </c>
      <c r="C710">
        <v>24286.2</v>
      </c>
      <c r="D710">
        <v>24252.55</v>
      </c>
      <c r="E710">
        <v>24259</v>
      </c>
      <c r="F710" s="2">
        <f t="shared" si="34"/>
        <v>33.650000000001455</v>
      </c>
      <c r="G710" s="3">
        <f t="shared" si="32"/>
        <v>34.592707966278688</v>
      </c>
      <c r="H710" t="str">
        <f t="shared" si="33"/>
        <v>2026-07</v>
      </c>
      <c r="I710">
        <v>3</v>
      </c>
    </row>
    <row r="711" spans="1:9" x14ac:dyDescent="0.25">
      <c r="A711" t="s">
        <v>716</v>
      </c>
      <c r="B711">
        <v>24259.599999999999</v>
      </c>
      <c r="C711">
        <v>24261.55</v>
      </c>
      <c r="D711">
        <v>24233.599999999999</v>
      </c>
      <c r="E711">
        <v>24248.95</v>
      </c>
      <c r="F711" s="2">
        <f t="shared" si="34"/>
        <v>27.950000000000728</v>
      </c>
      <c r="G711" s="3">
        <f t="shared" si="32"/>
        <v>34.118228825830265</v>
      </c>
      <c r="H711" t="str">
        <f t="shared" si="33"/>
        <v>2026-07</v>
      </c>
      <c r="I711">
        <v>3</v>
      </c>
    </row>
    <row r="712" spans="1:9" x14ac:dyDescent="0.25">
      <c r="A712" t="s">
        <v>717</v>
      </c>
      <c r="B712">
        <v>24249.65</v>
      </c>
      <c r="C712">
        <v>24252.35</v>
      </c>
      <c r="D712">
        <v>24218.400000000001</v>
      </c>
      <c r="E712">
        <v>24222.400000000001</v>
      </c>
      <c r="F712" s="2">
        <f t="shared" si="34"/>
        <v>33.94999999999709</v>
      </c>
      <c r="G712" s="3">
        <f t="shared" si="32"/>
        <v>34.106212481127891</v>
      </c>
      <c r="H712" t="str">
        <f t="shared" si="33"/>
        <v>2026-07</v>
      </c>
      <c r="I712">
        <v>3</v>
      </c>
    </row>
    <row r="713" spans="1:9" x14ac:dyDescent="0.25">
      <c r="A713" t="s">
        <v>718</v>
      </c>
      <c r="B713">
        <v>24224.05</v>
      </c>
      <c r="C713">
        <v>24234.25</v>
      </c>
      <c r="D713">
        <v>24202.55</v>
      </c>
      <c r="E713">
        <v>24206.55</v>
      </c>
      <c r="F713" s="2">
        <f t="shared" si="34"/>
        <v>31.700000000000728</v>
      </c>
      <c r="G713" s="3">
        <f t="shared" si="32"/>
        <v>33.93434016104738</v>
      </c>
      <c r="H713" t="str">
        <f t="shared" si="33"/>
        <v>2026-07</v>
      </c>
      <c r="I713">
        <v>3</v>
      </c>
    </row>
    <row r="714" spans="1:9" x14ac:dyDescent="0.25">
      <c r="A714" t="s">
        <v>719</v>
      </c>
      <c r="B714">
        <v>24207.599999999999</v>
      </c>
      <c r="C714">
        <v>24208.400000000001</v>
      </c>
      <c r="D714">
        <v>24184</v>
      </c>
      <c r="E714">
        <v>24204.7</v>
      </c>
      <c r="F714" s="2">
        <f t="shared" si="34"/>
        <v>24.400000000001455</v>
      </c>
      <c r="G714" s="3">
        <f t="shared" si="32"/>
        <v>33.253315863829819</v>
      </c>
      <c r="H714" t="str">
        <f t="shared" si="33"/>
        <v>2026-07</v>
      </c>
      <c r="I714">
        <v>3</v>
      </c>
    </row>
    <row r="715" spans="1:9" x14ac:dyDescent="0.25">
      <c r="A715" t="s">
        <v>720</v>
      </c>
      <c r="B715">
        <v>24206.1</v>
      </c>
      <c r="C715">
        <v>24225.3</v>
      </c>
      <c r="D715">
        <v>24197.85</v>
      </c>
      <c r="E715">
        <v>24215.9</v>
      </c>
      <c r="F715" s="2">
        <f t="shared" si="34"/>
        <v>27.450000000000728</v>
      </c>
      <c r="G715" s="3">
        <f t="shared" si="32"/>
        <v>32.838793302127741</v>
      </c>
      <c r="H715" t="str">
        <f t="shared" si="33"/>
        <v>2026-07</v>
      </c>
      <c r="I715">
        <v>3</v>
      </c>
    </row>
    <row r="716" spans="1:9" x14ac:dyDescent="0.25">
      <c r="A716" t="s">
        <v>721</v>
      </c>
      <c r="B716">
        <v>24217.15</v>
      </c>
      <c r="C716">
        <v>24235.8</v>
      </c>
      <c r="D716">
        <v>24214.799999999999</v>
      </c>
      <c r="E716">
        <v>24216.95</v>
      </c>
      <c r="F716" s="2">
        <f t="shared" si="34"/>
        <v>21</v>
      </c>
      <c r="G716" s="3">
        <f t="shared" si="32"/>
        <v>31.993165209118615</v>
      </c>
      <c r="H716" t="str">
        <f t="shared" si="33"/>
        <v>2026-07</v>
      </c>
      <c r="I716">
        <v>3</v>
      </c>
    </row>
    <row r="717" spans="1:9" x14ac:dyDescent="0.25">
      <c r="A717" t="s">
        <v>722</v>
      </c>
      <c r="B717">
        <v>24217.95</v>
      </c>
      <c r="C717">
        <v>24230.1</v>
      </c>
      <c r="D717">
        <v>24209.5</v>
      </c>
      <c r="E717">
        <v>24216.3</v>
      </c>
      <c r="F717" s="2">
        <f t="shared" si="34"/>
        <v>20.599999999998545</v>
      </c>
      <c r="G717" s="3">
        <f t="shared" si="32"/>
        <v>31.179367694181469</v>
      </c>
      <c r="H717" t="str">
        <f t="shared" si="33"/>
        <v>2026-07</v>
      </c>
      <c r="I717">
        <v>3</v>
      </c>
    </row>
    <row r="718" spans="1:9" x14ac:dyDescent="0.25">
      <c r="A718" t="s">
        <v>723</v>
      </c>
      <c r="B718">
        <v>24217.55</v>
      </c>
      <c r="C718">
        <v>24220.5</v>
      </c>
      <c r="D718">
        <v>24200.1</v>
      </c>
      <c r="E718">
        <v>24205.15</v>
      </c>
      <c r="F718" s="2">
        <f t="shared" si="34"/>
        <v>20.400000000001455</v>
      </c>
      <c r="G718" s="3">
        <f t="shared" si="32"/>
        <v>30.409412858882895</v>
      </c>
      <c r="H718" t="str">
        <f t="shared" si="33"/>
        <v>2026-07</v>
      </c>
      <c r="I718">
        <v>3</v>
      </c>
    </row>
    <row r="719" spans="1:9" x14ac:dyDescent="0.25">
      <c r="A719" t="s">
        <v>724</v>
      </c>
      <c r="B719">
        <v>24206.1</v>
      </c>
      <c r="C719">
        <v>24209.05</v>
      </c>
      <c r="D719">
        <v>24007.9</v>
      </c>
      <c r="E719">
        <v>24009.55</v>
      </c>
      <c r="F719" s="2">
        <f t="shared" si="34"/>
        <v>201.14999999999782</v>
      </c>
      <c r="G719" s="3">
        <f t="shared" si="32"/>
        <v>42.605169083248249</v>
      </c>
      <c r="H719" t="str">
        <f t="shared" si="33"/>
        <v>2026-07</v>
      </c>
      <c r="I719">
        <v>3</v>
      </c>
    </row>
    <row r="720" spans="1:9" x14ac:dyDescent="0.25">
      <c r="A720" t="s">
        <v>725</v>
      </c>
      <c r="B720">
        <v>24012.05</v>
      </c>
      <c r="C720">
        <v>24026.9</v>
      </c>
      <c r="D720">
        <v>23877.5</v>
      </c>
      <c r="E720">
        <v>23897.599999999999</v>
      </c>
      <c r="F720" s="2">
        <f t="shared" si="34"/>
        <v>149.40000000000146</v>
      </c>
      <c r="G720" s="3">
        <f t="shared" ref="G720:G783" si="35">(G719*13+F720)/14</f>
        <v>50.233371291587765</v>
      </c>
      <c r="H720" t="str">
        <f t="shared" si="33"/>
        <v>2026-07</v>
      </c>
      <c r="I720">
        <v>3</v>
      </c>
    </row>
    <row r="721" spans="1:9" x14ac:dyDescent="0.25">
      <c r="A721" t="s">
        <v>726</v>
      </c>
      <c r="B721">
        <v>23898.95</v>
      </c>
      <c r="C721">
        <v>23956.6</v>
      </c>
      <c r="D721">
        <v>23872.15</v>
      </c>
      <c r="E721">
        <v>23874.15</v>
      </c>
      <c r="F721" s="2">
        <f t="shared" si="34"/>
        <v>84.44999999999709</v>
      </c>
      <c r="G721" s="3">
        <f t="shared" si="35"/>
        <v>52.67741619933129</v>
      </c>
      <c r="H721" t="str">
        <f t="shared" si="33"/>
        <v>2026-07</v>
      </c>
      <c r="I721">
        <v>3</v>
      </c>
    </row>
    <row r="722" spans="1:9" x14ac:dyDescent="0.25">
      <c r="A722" t="s">
        <v>727</v>
      </c>
      <c r="B722">
        <v>23874.45</v>
      </c>
      <c r="C722">
        <v>23918</v>
      </c>
      <c r="D722">
        <v>23844.5</v>
      </c>
      <c r="E722">
        <v>23863.4</v>
      </c>
      <c r="F722" s="2">
        <f t="shared" si="34"/>
        <v>73.5</v>
      </c>
      <c r="G722" s="3">
        <f t="shared" si="35"/>
        <v>54.164743613664768</v>
      </c>
      <c r="H722" t="str">
        <f t="shared" si="33"/>
        <v>2026-07</v>
      </c>
      <c r="I722">
        <v>3</v>
      </c>
    </row>
    <row r="723" spans="1:9" x14ac:dyDescent="0.25">
      <c r="A723" t="s">
        <v>728</v>
      </c>
      <c r="B723">
        <v>23863.25</v>
      </c>
      <c r="C723">
        <v>23864.5</v>
      </c>
      <c r="D723">
        <v>23805.200000000001</v>
      </c>
      <c r="E723">
        <v>23828.65</v>
      </c>
      <c r="F723" s="2">
        <f t="shared" si="34"/>
        <v>59.299999999999272</v>
      </c>
      <c r="G723" s="3">
        <f t="shared" si="35"/>
        <v>54.53154764126009</v>
      </c>
      <c r="H723" t="str">
        <f t="shared" si="33"/>
        <v>2026-07</v>
      </c>
      <c r="I723">
        <v>3</v>
      </c>
    </row>
    <row r="724" spans="1:9" x14ac:dyDescent="0.25">
      <c r="A724" t="s">
        <v>729</v>
      </c>
      <c r="B724">
        <v>23826.55</v>
      </c>
      <c r="C724">
        <v>23885.05</v>
      </c>
      <c r="D724">
        <v>23826.55</v>
      </c>
      <c r="E724">
        <v>23883.4</v>
      </c>
      <c r="F724" s="2">
        <f t="shared" si="34"/>
        <v>58.5</v>
      </c>
      <c r="G724" s="3">
        <f t="shared" si="35"/>
        <v>54.815008524027228</v>
      </c>
      <c r="H724" t="str">
        <f t="shared" si="33"/>
        <v>2026-07</v>
      </c>
      <c r="I724">
        <v>3</v>
      </c>
    </row>
    <row r="725" spans="1:9" x14ac:dyDescent="0.25">
      <c r="A725" t="s">
        <v>730</v>
      </c>
      <c r="B725">
        <v>23883.35</v>
      </c>
      <c r="C725">
        <v>23919.55</v>
      </c>
      <c r="D725">
        <v>23882.2</v>
      </c>
      <c r="E725">
        <v>23897.200000000001</v>
      </c>
      <c r="F725" s="2">
        <f t="shared" si="34"/>
        <v>37.349999999998545</v>
      </c>
      <c r="G725" s="3">
        <f t="shared" si="35"/>
        <v>53.567507915168036</v>
      </c>
      <c r="H725" t="str">
        <f t="shared" si="33"/>
        <v>2026-07</v>
      </c>
      <c r="I725">
        <v>3</v>
      </c>
    </row>
    <row r="726" spans="1:9" x14ac:dyDescent="0.25">
      <c r="A726" t="s">
        <v>731</v>
      </c>
      <c r="B726">
        <v>23930.2</v>
      </c>
      <c r="C726">
        <v>24038.5</v>
      </c>
      <c r="D726">
        <v>23927.7</v>
      </c>
      <c r="E726">
        <v>24024.15</v>
      </c>
      <c r="F726" s="2">
        <f t="shared" si="34"/>
        <v>141.29999999999927</v>
      </c>
      <c r="G726" s="3">
        <f t="shared" si="35"/>
        <v>59.834114492655985</v>
      </c>
      <c r="H726" t="str">
        <f t="shared" si="33"/>
        <v>2026-07</v>
      </c>
      <c r="I726">
        <v>3</v>
      </c>
    </row>
    <row r="727" spans="1:9" x14ac:dyDescent="0.25">
      <c r="A727" t="s">
        <v>732</v>
      </c>
      <c r="B727">
        <v>24022.65</v>
      </c>
      <c r="C727">
        <v>24061.75</v>
      </c>
      <c r="D727">
        <v>24004.2</v>
      </c>
      <c r="E727">
        <v>24047.200000000001</v>
      </c>
      <c r="F727" s="2">
        <f t="shared" si="34"/>
        <v>57.549999999999272</v>
      </c>
      <c r="G727" s="3">
        <f t="shared" si="35"/>
        <v>59.670963457466215</v>
      </c>
      <c r="H727" t="str">
        <f t="shared" si="33"/>
        <v>2026-07</v>
      </c>
      <c r="I727">
        <v>3</v>
      </c>
    </row>
    <row r="728" spans="1:9" x14ac:dyDescent="0.25">
      <c r="A728" t="s">
        <v>733</v>
      </c>
      <c r="B728">
        <v>24048.25</v>
      </c>
      <c r="C728">
        <v>24067.4</v>
      </c>
      <c r="D728">
        <v>24031.15</v>
      </c>
      <c r="E728">
        <v>24044.65</v>
      </c>
      <c r="F728" s="2">
        <f t="shared" si="34"/>
        <v>36.25</v>
      </c>
      <c r="G728" s="3">
        <f t="shared" si="35"/>
        <v>57.998037496218629</v>
      </c>
      <c r="H728" t="str">
        <f t="shared" si="33"/>
        <v>2026-07</v>
      </c>
      <c r="I728">
        <v>3</v>
      </c>
    </row>
    <row r="729" spans="1:9" x14ac:dyDescent="0.25">
      <c r="A729" t="s">
        <v>734</v>
      </c>
      <c r="B729">
        <v>24044.7</v>
      </c>
      <c r="C729">
        <v>24076.799999999999</v>
      </c>
      <c r="D729">
        <v>24041.8</v>
      </c>
      <c r="E729">
        <v>24044.25</v>
      </c>
      <c r="F729" s="2">
        <f t="shared" si="34"/>
        <v>35</v>
      </c>
      <c r="G729" s="3">
        <f t="shared" si="35"/>
        <v>56.35532053220301</v>
      </c>
      <c r="H729" t="str">
        <f t="shared" si="33"/>
        <v>2026-07</v>
      </c>
      <c r="I729">
        <v>3</v>
      </c>
    </row>
    <row r="730" spans="1:9" x14ac:dyDescent="0.25">
      <c r="A730" t="s">
        <v>735</v>
      </c>
      <c r="B730">
        <v>24045.05</v>
      </c>
      <c r="C730">
        <v>24058.35</v>
      </c>
      <c r="D730">
        <v>24029.65</v>
      </c>
      <c r="E730">
        <v>24042.85</v>
      </c>
      <c r="F730" s="2">
        <f t="shared" si="34"/>
        <v>28.69999999999709</v>
      </c>
      <c r="G730" s="3">
        <f t="shared" si="35"/>
        <v>54.379940494188304</v>
      </c>
      <c r="H730" t="str">
        <f t="shared" si="33"/>
        <v>2026-07</v>
      </c>
      <c r="I730">
        <v>3</v>
      </c>
    </row>
    <row r="731" spans="1:9" x14ac:dyDescent="0.25">
      <c r="A731" t="s">
        <v>736</v>
      </c>
      <c r="B731">
        <v>24042.9</v>
      </c>
      <c r="C731">
        <v>24134.7</v>
      </c>
      <c r="D731">
        <v>23998.9</v>
      </c>
      <c r="E731">
        <v>24077.4</v>
      </c>
      <c r="F731" s="2">
        <f t="shared" si="34"/>
        <v>135.79999999999927</v>
      </c>
      <c r="G731" s="3">
        <f t="shared" si="35"/>
        <v>60.195659030317657</v>
      </c>
      <c r="H731" t="str">
        <f t="shared" si="33"/>
        <v>2026-07</v>
      </c>
      <c r="I731">
        <v>3</v>
      </c>
    </row>
    <row r="732" spans="1:9" x14ac:dyDescent="0.25">
      <c r="A732" t="s">
        <v>737</v>
      </c>
      <c r="B732">
        <v>24078.1</v>
      </c>
      <c r="C732">
        <v>24082.85</v>
      </c>
      <c r="D732">
        <v>24001.15</v>
      </c>
      <c r="E732">
        <v>24013.9</v>
      </c>
      <c r="F732" s="2">
        <f t="shared" si="34"/>
        <v>81.69999999999709</v>
      </c>
      <c r="G732" s="3">
        <f t="shared" si="35"/>
        <v>61.731683385294765</v>
      </c>
      <c r="H732" t="str">
        <f t="shared" si="33"/>
        <v>2026-07</v>
      </c>
      <c r="I732">
        <v>3</v>
      </c>
    </row>
    <row r="733" spans="1:9" x14ac:dyDescent="0.25">
      <c r="A733" t="s">
        <v>738</v>
      </c>
      <c r="B733">
        <v>24014.85</v>
      </c>
      <c r="C733">
        <v>24023.35</v>
      </c>
      <c r="D733">
        <v>23988.35</v>
      </c>
      <c r="E733">
        <v>24015.25</v>
      </c>
      <c r="F733" s="2">
        <f t="shared" si="34"/>
        <v>35</v>
      </c>
      <c r="G733" s="3">
        <f t="shared" si="35"/>
        <v>59.822277429202288</v>
      </c>
      <c r="H733" t="str">
        <f t="shared" si="33"/>
        <v>2026-07</v>
      </c>
      <c r="I733">
        <v>3</v>
      </c>
    </row>
    <row r="734" spans="1:9" x14ac:dyDescent="0.25">
      <c r="A734" t="s">
        <v>739</v>
      </c>
      <c r="B734">
        <v>24014.85</v>
      </c>
      <c r="C734">
        <v>24090.5</v>
      </c>
      <c r="D734">
        <v>24008.85</v>
      </c>
      <c r="E734">
        <v>24079.8</v>
      </c>
      <c r="F734" s="2">
        <f t="shared" si="34"/>
        <v>81.650000000001455</v>
      </c>
      <c r="G734" s="3">
        <f t="shared" si="35"/>
        <v>61.381400469973656</v>
      </c>
      <c r="H734" t="str">
        <f t="shared" si="33"/>
        <v>2026-07</v>
      </c>
      <c r="I734">
        <v>3</v>
      </c>
    </row>
    <row r="735" spans="1:9" x14ac:dyDescent="0.25">
      <c r="A735" t="s">
        <v>740</v>
      </c>
      <c r="B735">
        <v>24078.799999999999</v>
      </c>
      <c r="C735">
        <v>24081.55</v>
      </c>
      <c r="D735">
        <v>24039.7</v>
      </c>
      <c r="E735">
        <v>24056.45</v>
      </c>
      <c r="F735" s="2">
        <f t="shared" si="34"/>
        <v>41.849999999998545</v>
      </c>
      <c r="G735" s="3">
        <f t="shared" si="35"/>
        <v>59.986300436404008</v>
      </c>
      <c r="H735" t="str">
        <f t="shared" si="33"/>
        <v>2026-07</v>
      </c>
      <c r="I735">
        <v>3</v>
      </c>
    </row>
    <row r="736" spans="1:9" x14ac:dyDescent="0.25">
      <c r="A736" t="s">
        <v>741</v>
      </c>
      <c r="B736">
        <v>24057.95</v>
      </c>
      <c r="C736">
        <v>24059.3</v>
      </c>
      <c r="D736">
        <v>24037.599999999999</v>
      </c>
      <c r="E736">
        <v>24047.65</v>
      </c>
      <c r="F736" s="2">
        <f t="shared" si="34"/>
        <v>21.700000000000728</v>
      </c>
      <c r="G736" s="3">
        <f t="shared" si="35"/>
        <v>57.25156469094663</v>
      </c>
      <c r="H736" t="str">
        <f t="shared" si="33"/>
        <v>2026-07</v>
      </c>
      <c r="I736">
        <v>3</v>
      </c>
    </row>
    <row r="737" spans="1:9" x14ac:dyDescent="0.25">
      <c r="A737" t="s">
        <v>742</v>
      </c>
      <c r="B737">
        <v>24047.55</v>
      </c>
      <c r="C737">
        <v>24076.55</v>
      </c>
      <c r="D737">
        <v>24042.15</v>
      </c>
      <c r="E737">
        <v>24060.400000000001</v>
      </c>
      <c r="F737" s="2">
        <f t="shared" si="34"/>
        <v>34.399999999997817</v>
      </c>
      <c r="G737" s="3">
        <f t="shared" si="35"/>
        <v>55.619310070164566</v>
      </c>
      <c r="H737" t="str">
        <f t="shared" si="33"/>
        <v>2026-07</v>
      </c>
      <c r="I737">
        <v>3</v>
      </c>
    </row>
    <row r="738" spans="1:9" x14ac:dyDescent="0.25">
      <c r="A738" t="s">
        <v>743</v>
      </c>
      <c r="B738">
        <v>24062.7</v>
      </c>
      <c r="C738">
        <v>24071.55</v>
      </c>
      <c r="D738">
        <v>24050.3</v>
      </c>
      <c r="E738">
        <v>24063.3</v>
      </c>
      <c r="F738" s="2">
        <f t="shared" si="34"/>
        <v>21.25</v>
      </c>
      <c r="G738" s="3">
        <f t="shared" si="35"/>
        <v>53.164359350867095</v>
      </c>
      <c r="H738" t="str">
        <f t="shared" si="33"/>
        <v>2026-07</v>
      </c>
      <c r="I738">
        <v>3</v>
      </c>
    </row>
    <row r="739" spans="1:9" x14ac:dyDescent="0.25">
      <c r="A739" t="s">
        <v>744</v>
      </c>
      <c r="B739">
        <v>24063.9</v>
      </c>
      <c r="C739">
        <v>24068.45</v>
      </c>
      <c r="D739">
        <v>24015.85</v>
      </c>
      <c r="E739">
        <v>24023.35</v>
      </c>
      <c r="F739" s="2">
        <f t="shared" si="34"/>
        <v>52.600000000002183</v>
      </c>
      <c r="G739" s="3">
        <f t="shared" si="35"/>
        <v>53.12404796866246</v>
      </c>
      <c r="H739" t="str">
        <f t="shared" si="33"/>
        <v>2026-07</v>
      </c>
      <c r="I739">
        <v>3</v>
      </c>
    </row>
    <row r="740" spans="1:9" x14ac:dyDescent="0.25">
      <c r="A740" t="s">
        <v>745</v>
      </c>
      <c r="B740">
        <v>24023.599999999999</v>
      </c>
      <c r="C740">
        <v>24054.400000000001</v>
      </c>
      <c r="D740">
        <v>24019.1</v>
      </c>
      <c r="E740">
        <v>24038.400000000001</v>
      </c>
      <c r="F740" s="2">
        <f t="shared" si="34"/>
        <v>35.30000000000291</v>
      </c>
      <c r="G740" s="3">
        <f t="shared" si="35"/>
        <v>51.850901685186777</v>
      </c>
      <c r="H740" t="str">
        <f t="shared" si="33"/>
        <v>2026-07</v>
      </c>
      <c r="I740">
        <v>3</v>
      </c>
    </row>
    <row r="741" spans="1:9" x14ac:dyDescent="0.25">
      <c r="A741" t="s">
        <v>746</v>
      </c>
      <c r="B741">
        <v>24038.95</v>
      </c>
      <c r="C741">
        <v>24055.55</v>
      </c>
      <c r="D741">
        <v>24027.75</v>
      </c>
      <c r="E741">
        <v>24051.65</v>
      </c>
      <c r="F741" s="2">
        <f t="shared" si="34"/>
        <v>27.799999999999272</v>
      </c>
      <c r="G741" s="3">
        <f t="shared" si="35"/>
        <v>50.132980136244818</v>
      </c>
      <c r="H741" t="str">
        <f t="shared" si="33"/>
        <v>2026-07</v>
      </c>
      <c r="I741">
        <v>3</v>
      </c>
    </row>
    <row r="742" spans="1:9" x14ac:dyDescent="0.25">
      <c r="A742" t="s">
        <v>747</v>
      </c>
      <c r="B742">
        <v>24051.85</v>
      </c>
      <c r="C742">
        <v>24058.45</v>
      </c>
      <c r="D742">
        <v>24025.1</v>
      </c>
      <c r="E742">
        <v>24035.55</v>
      </c>
      <c r="F742" s="2">
        <f t="shared" si="34"/>
        <v>33.350000000002183</v>
      </c>
      <c r="G742" s="3">
        <f t="shared" si="35"/>
        <v>48.934195840798914</v>
      </c>
      <c r="H742" t="str">
        <f t="shared" si="33"/>
        <v>2026-07</v>
      </c>
      <c r="I742">
        <v>3</v>
      </c>
    </row>
    <row r="743" spans="1:9" x14ac:dyDescent="0.25">
      <c r="A743" t="s">
        <v>748</v>
      </c>
      <c r="B743">
        <v>24035.35</v>
      </c>
      <c r="C743">
        <v>24082.35</v>
      </c>
      <c r="D743">
        <v>24034.15</v>
      </c>
      <c r="E743">
        <v>24069.35</v>
      </c>
      <c r="F743" s="2">
        <f t="shared" si="34"/>
        <v>48.19999999999709</v>
      </c>
      <c r="G743" s="3">
        <f t="shared" si="35"/>
        <v>48.881753280741641</v>
      </c>
      <c r="H743" t="str">
        <f t="shared" si="33"/>
        <v>2026-07</v>
      </c>
      <c r="I743">
        <v>3</v>
      </c>
    </row>
    <row r="744" spans="1:9" x14ac:dyDescent="0.25">
      <c r="A744" t="s">
        <v>749</v>
      </c>
      <c r="B744">
        <v>24068.799999999999</v>
      </c>
      <c r="C744">
        <v>24076.85</v>
      </c>
      <c r="D744">
        <v>24048.1</v>
      </c>
      <c r="E744">
        <v>24050.05</v>
      </c>
      <c r="F744" s="2">
        <f t="shared" si="34"/>
        <v>28.75</v>
      </c>
      <c r="G744" s="3">
        <f t="shared" si="35"/>
        <v>47.443770903545804</v>
      </c>
      <c r="H744" t="str">
        <f t="shared" si="33"/>
        <v>2026-07</v>
      </c>
      <c r="I744">
        <v>3</v>
      </c>
    </row>
    <row r="745" spans="1:9" x14ac:dyDescent="0.25">
      <c r="A745" t="s">
        <v>750</v>
      </c>
      <c r="B745">
        <v>24050.85</v>
      </c>
      <c r="C745">
        <v>24058.5</v>
      </c>
      <c r="D745">
        <v>24024.35</v>
      </c>
      <c r="E745">
        <v>24049</v>
      </c>
      <c r="F745" s="2">
        <f t="shared" si="34"/>
        <v>34.150000000001455</v>
      </c>
      <c r="G745" s="3">
        <f t="shared" si="35"/>
        <v>46.49421583900692</v>
      </c>
      <c r="H745" t="str">
        <f t="shared" si="33"/>
        <v>2026-07</v>
      </c>
      <c r="I745">
        <v>3</v>
      </c>
    </row>
    <row r="746" spans="1:9" x14ac:dyDescent="0.25">
      <c r="A746" t="s">
        <v>751</v>
      </c>
      <c r="B746">
        <v>24049.200000000001</v>
      </c>
      <c r="C746">
        <v>24062.6</v>
      </c>
      <c r="D746">
        <v>24027.5</v>
      </c>
      <c r="E746">
        <v>24058.85</v>
      </c>
      <c r="F746" s="2">
        <f t="shared" si="34"/>
        <v>35.099999999998545</v>
      </c>
      <c r="G746" s="3">
        <f t="shared" si="35"/>
        <v>45.680343279077753</v>
      </c>
      <c r="H746" t="str">
        <f t="shared" si="33"/>
        <v>2026-07</v>
      </c>
      <c r="I746">
        <v>3</v>
      </c>
    </row>
    <row r="747" spans="1:9" x14ac:dyDescent="0.25">
      <c r="A747" t="s">
        <v>752</v>
      </c>
      <c r="B747">
        <v>24057.95</v>
      </c>
      <c r="C747">
        <v>24078.6</v>
      </c>
      <c r="D747">
        <v>24001.95</v>
      </c>
      <c r="E747">
        <v>24026.15</v>
      </c>
      <c r="F747" s="2">
        <f t="shared" si="34"/>
        <v>76.649999999997817</v>
      </c>
      <c r="G747" s="3">
        <f t="shared" si="35"/>
        <v>47.892461616286326</v>
      </c>
      <c r="H747" t="str">
        <f t="shared" si="33"/>
        <v>2026-07</v>
      </c>
      <c r="I747">
        <v>3</v>
      </c>
    </row>
    <row r="748" spans="1:9" x14ac:dyDescent="0.25">
      <c r="A748" t="s">
        <v>753</v>
      </c>
      <c r="B748">
        <v>24026.5</v>
      </c>
      <c r="C748">
        <v>24044.3</v>
      </c>
      <c r="D748">
        <v>24015.15</v>
      </c>
      <c r="E748">
        <v>24039.65</v>
      </c>
      <c r="F748" s="2">
        <f t="shared" si="34"/>
        <v>29.149999999997817</v>
      </c>
      <c r="G748" s="3">
        <f t="shared" si="35"/>
        <v>46.553714357980006</v>
      </c>
      <c r="H748" t="str">
        <f t="shared" si="33"/>
        <v>2026-07</v>
      </c>
      <c r="I748">
        <v>3</v>
      </c>
    </row>
    <row r="749" spans="1:9" x14ac:dyDescent="0.25">
      <c r="A749" t="s">
        <v>754</v>
      </c>
      <c r="B749">
        <v>24037.85</v>
      </c>
      <c r="C749">
        <v>24037.85</v>
      </c>
      <c r="D749">
        <v>23925.7</v>
      </c>
      <c r="E749">
        <v>23940.5</v>
      </c>
      <c r="F749" s="2">
        <f t="shared" si="34"/>
        <v>113.95000000000073</v>
      </c>
      <c r="G749" s="3">
        <f t="shared" si="35"/>
        <v>51.367734760981484</v>
      </c>
      <c r="H749" t="str">
        <f t="shared" si="33"/>
        <v>2026-07</v>
      </c>
      <c r="I749">
        <v>3</v>
      </c>
    </row>
    <row r="750" spans="1:9" x14ac:dyDescent="0.25">
      <c r="A750" t="s">
        <v>755</v>
      </c>
      <c r="B750">
        <v>23940.3</v>
      </c>
      <c r="C750">
        <v>23983.4</v>
      </c>
      <c r="D750">
        <v>23938.75</v>
      </c>
      <c r="E750">
        <v>23981.9</v>
      </c>
      <c r="F750" s="2">
        <f t="shared" si="34"/>
        <v>44.650000000001455</v>
      </c>
      <c r="G750" s="3">
        <f t="shared" si="35"/>
        <v>50.887896563768621</v>
      </c>
      <c r="H750" t="str">
        <f t="shared" si="33"/>
        <v>2026-07</v>
      </c>
      <c r="I750">
        <v>3</v>
      </c>
    </row>
    <row r="751" spans="1:9" x14ac:dyDescent="0.25">
      <c r="A751" t="s">
        <v>756</v>
      </c>
      <c r="B751">
        <v>24126.7</v>
      </c>
      <c r="C751">
        <v>24187.9</v>
      </c>
      <c r="D751">
        <v>24120.35</v>
      </c>
      <c r="E751">
        <v>24168.400000000001</v>
      </c>
      <c r="F751" s="2">
        <f t="shared" si="34"/>
        <v>206</v>
      </c>
      <c r="G751" s="3">
        <f t="shared" si="35"/>
        <v>61.967332523499429</v>
      </c>
      <c r="H751" t="str">
        <f t="shared" si="33"/>
        <v>2026-07</v>
      </c>
      <c r="I751">
        <v>3</v>
      </c>
    </row>
    <row r="752" spans="1:9" x14ac:dyDescent="0.25">
      <c r="A752" t="s">
        <v>757</v>
      </c>
      <c r="B752">
        <v>24168.6</v>
      </c>
      <c r="C752">
        <v>24208</v>
      </c>
      <c r="D752">
        <v>24166.2</v>
      </c>
      <c r="E752">
        <v>24195.1</v>
      </c>
      <c r="F752" s="2">
        <f t="shared" si="34"/>
        <v>41.799999999999272</v>
      </c>
      <c r="G752" s="3">
        <f t="shared" si="35"/>
        <v>60.526808771820846</v>
      </c>
      <c r="H752" t="str">
        <f t="shared" si="33"/>
        <v>2026-07</v>
      </c>
      <c r="I752">
        <v>3</v>
      </c>
    </row>
    <row r="753" spans="1:9" x14ac:dyDescent="0.25">
      <c r="A753" t="s">
        <v>758</v>
      </c>
      <c r="B753">
        <v>24196.5</v>
      </c>
      <c r="C753">
        <v>24216.85</v>
      </c>
      <c r="D753">
        <v>24195.25</v>
      </c>
      <c r="E753">
        <v>24216.400000000001</v>
      </c>
      <c r="F753" s="2">
        <f t="shared" si="34"/>
        <v>21.75</v>
      </c>
      <c r="G753" s="3">
        <f t="shared" si="35"/>
        <v>57.757036716690784</v>
      </c>
      <c r="H753" t="str">
        <f t="shared" si="33"/>
        <v>2026-07</v>
      </c>
      <c r="I753">
        <v>3</v>
      </c>
    </row>
    <row r="754" spans="1:9" x14ac:dyDescent="0.25">
      <c r="A754" t="s">
        <v>759</v>
      </c>
      <c r="B754">
        <v>24216.75</v>
      </c>
      <c r="C754">
        <v>24226.05</v>
      </c>
      <c r="D754">
        <v>24202.15</v>
      </c>
      <c r="E754">
        <v>24211.25</v>
      </c>
      <c r="F754" s="2">
        <f t="shared" si="34"/>
        <v>23.899999999997817</v>
      </c>
      <c r="G754" s="3">
        <f t="shared" si="35"/>
        <v>55.338676951212719</v>
      </c>
      <c r="H754" t="str">
        <f t="shared" si="33"/>
        <v>2026-07</v>
      </c>
      <c r="I754">
        <v>3</v>
      </c>
    </row>
    <row r="755" spans="1:9" x14ac:dyDescent="0.25">
      <c r="A755" t="s">
        <v>760</v>
      </c>
      <c r="B755">
        <v>24212.799999999999</v>
      </c>
      <c r="C755">
        <v>24218.85</v>
      </c>
      <c r="D755">
        <v>24202.35</v>
      </c>
      <c r="E755">
        <v>24203.3</v>
      </c>
      <c r="F755" s="2">
        <f t="shared" si="34"/>
        <v>16.5</v>
      </c>
      <c r="G755" s="3">
        <f t="shared" si="35"/>
        <v>52.564485740411804</v>
      </c>
      <c r="H755" t="str">
        <f t="shared" si="33"/>
        <v>2026-07</v>
      </c>
      <c r="I755">
        <v>3</v>
      </c>
    </row>
    <row r="756" spans="1:9" x14ac:dyDescent="0.25">
      <c r="A756" t="s">
        <v>761</v>
      </c>
      <c r="B756">
        <v>24205.35</v>
      </c>
      <c r="C756">
        <v>24211.5</v>
      </c>
      <c r="D756">
        <v>24187.95</v>
      </c>
      <c r="E756">
        <v>24210.85</v>
      </c>
      <c r="F756" s="2">
        <f t="shared" si="34"/>
        <v>23.549999999999272</v>
      </c>
      <c r="G756" s="3">
        <f t="shared" si="35"/>
        <v>50.49202247323948</v>
      </c>
      <c r="H756" t="str">
        <f t="shared" si="33"/>
        <v>2026-07</v>
      </c>
      <c r="I756">
        <v>3</v>
      </c>
    </row>
    <row r="757" spans="1:9" x14ac:dyDescent="0.25">
      <c r="A757" t="s">
        <v>762</v>
      </c>
      <c r="B757">
        <v>24213.3</v>
      </c>
      <c r="C757">
        <v>24213.45</v>
      </c>
      <c r="D757">
        <v>24195.65</v>
      </c>
      <c r="E757">
        <v>24199.1</v>
      </c>
      <c r="F757" s="2">
        <f t="shared" si="34"/>
        <v>17.799999999999272</v>
      </c>
      <c r="G757" s="3">
        <f t="shared" si="35"/>
        <v>48.156878010865178</v>
      </c>
      <c r="H757" t="str">
        <f t="shared" si="33"/>
        <v>2026-07</v>
      </c>
      <c r="I757">
        <v>3</v>
      </c>
    </row>
    <row r="758" spans="1:9" x14ac:dyDescent="0.25">
      <c r="A758" t="s">
        <v>763</v>
      </c>
      <c r="B758">
        <v>24201.35</v>
      </c>
      <c r="C758">
        <v>24206.15</v>
      </c>
      <c r="D758">
        <v>24174.95</v>
      </c>
      <c r="E758">
        <v>24180</v>
      </c>
      <c r="F758" s="2">
        <f t="shared" si="34"/>
        <v>31.200000000000728</v>
      </c>
      <c r="G758" s="3">
        <f t="shared" si="35"/>
        <v>46.945672438660573</v>
      </c>
      <c r="H758" t="str">
        <f t="shared" si="33"/>
        <v>2026-07</v>
      </c>
      <c r="I758">
        <v>3</v>
      </c>
    </row>
    <row r="759" spans="1:9" x14ac:dyDescent="0.25">
      <c r="A759" t="s">
        <v>764</v>
      </c>
      <c r="B759">
        <v>24181.65</v>
      </c>
      <c r="C759">
        <v>24182.25</v>
      </c>
      <c r="D759">
        <v>24156.85</v>
      </c>
      <c r="E759">
        <v>24157.85</v>
      </c>
      <c r="F759" s="2">
        <f t="shared" si="34"/>
        <v>25.400000000001455</v>
      </c>
      <c r="G759" s="3">
        <f t="shared" si="35"/>
        <v>45.406695835899207</v>
      </c>
      <c r="H759" t="str">
        <f t="shared" si="33"/>
        <v>2026-07</v>
      </c>
      <c r="I759">
        <v>3</v>
      </c>
    </row>
    <row r="760" spans="1:9" x14ac:dyDescent="0.25">
      <c r="A760" t="s">
        <v>765</v>
      </c>
      <c r="B760">
        <v>24161.05</v>
      </c>
      <c r="C760">
        <v>24172.35</v>
      </c>
      <c r="D760">
        <v>24155.95</v>
      </c>
      <c r="E760">
        <v>24163.1</v>
      </c>
      <c r="F760" s="2">
        <f t="shared" si="34"/>
        <v>16.399999999997817</v>
      </c>
      <c r="G760" s="3">
        <f t="shared" si="35"/>
        <v>43.334788990477684</v>
      </c>
      <c r="H760" t="str">
        <f t="shared" si="33"/>
        <v>2026-07</v>
      </c>
      <c r="I760">
        <v>3</v>
      </c>
    </row>
    <row r="761" spans="1:9" x14ac:dyDescent="0.25">
      <c r="A761" t="s">
        <v>766</v>
      </c>
      <c r="B761">
        <v>24165.200000000001</v>
      </c>
      <c r="C761">
        <v>24177.3</v>
      </c>
      <c r="D761">
        <v>24152.05</v>
      </c>
      <c r="E761">
        <v>24170.400000000001</v>
      </c>
      <c r="F761" s="2">
        <f t="shared" si="34"/>
        <v>25.25</v>
      </c>
      <c r="G761" s="3">
        <f t="shared" si="35"/>
        <v>42.043018348300713</v>
      </c>
      <c r="H761" t="str">
        <f t="shared" si="33"/>
        <v>2026-07</v>
      </c>
      <c r="I761">
        <v>3</v>
      </c>
    </row>
    <row r="762" spans="1:9" x14ac:dyDescent="0.25">
      <c r="A762" t="s">
        <v>767</v>
      </c>
      <c r="B762">
        <v>24171.3</v>
      </c>
      <c r="C762">
        <v>24185.65</v>
      </c>
      <c r="D762">
        <v>24157.75</v>
      </c>
      <c r="E762">
        <v>24164.75</v>
      </c>
      <c r="F762" s="2">
        <f t="shared" si="34"/>
        <v>27.900000000001455</v>
      </c>
      <c r="G762" s="3">
        <f t="shared" si="35"/>
        <v>41.032802751993628</v>
      </c>
      <c r="H762" t="str">
        <f t="shared" si="33"/>
        <v>2026-07</v>
      </c>
      <c r="I762">
        <v>3</v>
      </c>
    </row>
    <row r="763" spans="1:9" x14ac:dyDescent="0.25">
      <c r="A763" t="s">
        <v>768</v>
      </c>
      <c r="B763">
        <v>24165.85</v>
      </c>
      <c r="C763">
        <v>24193.5</v>
      </c>
      <c r="D763">
        <v>24160.9</v>
      </c>
      <c r="E763">
        <v>24189.25</v>
      </c>
      <c r="F763" s="2">
        <f t="shared" si="34"/>
        <v>32.599999999998545</v>
      </c>
      <c r="G763" s="3">
        <f t="shared" si="35"/>
        <v>40.430459698279698</v>
      </c>
      <c r="H763" t="str">
        <f t="shared" si="33"/>
        <v>2026-07</v>
      </c>
      <c r="I763">
        <v>3</v>
      </c>
    </row>
    <row r="764" spans="1:9" x14ac:dyDescent="0.25">
      <c r="A764" t="s">
        <v>769</v>
      </c>
      <c r="B764">
        <v>24190.3</v>
      </c>
      <c r="C764">
        <v>24194.15</v>
      </c>
      <c r="D764">
        <v>24178</v>
      </c>
      <c r="E764">
        <v>24188.25</v>
      </c>
      <c r="F764" s="2">
        <f t="shared" si="34"/>
        <v>16.150000000001455</v>
      </c>
      <c r="G764" s="3">
        <f t="shared" si="35"/>
        <v>38.696141148402681</v>
      </c>
      <c r="H764" t="str">
        <f t="shared" si="33"/>
        <v>2026-07</v>
      </c>
      <c r="I764">
        <v>3</v>
      </c>
    </row>
    <row r="765" spans="1:9" x14ac:dyDescent="0.25">
      <c r="A765" t="s">
        <v>770</v>
      </c>
      <c r="B765">
        <v>24190.65</v>
      </c>
      <c r="C765">
        <v>24199.8</v>
      </c>
      <c r="D765">
        <v>24178.400000000001</v>
      </c>
      <c r="E765">
        <v>24181.35</v>
      </c>
      <c r="F765" s="2">
        <f t="shared" si="34"/>
        <v>21.399999999997817</v>
      </c>
      <c r="G765" s="3">
        <f t="shared" si="35"/>
        <v>37.460702494945188</v>
      </c>
      <c r="H765" t="str">
        <f t="shared" si="33"/>
        <v>2026-07</v>
      </c>
      <c r="I765">
        <v>3</v>
      </c>
    </row>
    <row r="766" spans="1:9" x14ac:dyDescent="0.25">
      <c r="A766" t="s">
        <v>771</v>
      </c>
      <c r="B766">
        <v>24184.45</v>
      </c>
      <c r="C766">
        <v>24201.85</v>
      </c>
      <c r="D766">
        <v>24177.95</v>
      </c>
      <c r="E766">
        <v>24185.8</v>
      </c>
      <c r="F766" s="2">
        <f t="shared" si="34"/>
        <v>23.899999999997817</v>
      </c>
      <c r="G766" s="3">
        <f t="shared" si="35"/>
        <v>36.492080888163237</v>
      </c>
      <c r="H766" t="str">
        <f t="shared" si="33"/>
        <v>2026-07</v>
      </c>
      <c r="I766">
        <v>3</v>
      </c>
    </row>
    <row r="767" spans="1:9" x14ac:dyDescent="0.25">
      <c r="A767" t="s">
        <v>772</v>
      </c>
      <c r="B767">
        <v>24186.85</v>
      </c>
      <c r="C767">
        <v>24188.45</v>
      </c>
      <c r="D767">
        <v>24160.75</v>
      </c>
      <c r="E767">
        <v>24176.55</v>
      </c>
      <c r="F767" s="2">
        <f t="shared" si="34"/>
        <v>27.700000000000728</v>
      </c>
      <c r="G767" s="3">
        <f t="shared" si="35"/>
        <v>35.864075110437348</v>
      </c>
      <c r="H767" t="str">
        <f t="shared" si="33"/>
        <v>2026-07</v>
      </c>
      <c r="I767">
        <v>3</v>
      </c>
    </row>
    <row r="768" spans="1:9" x14ac:dyDescent="0.25">
      <c r="A768" t="s">
        <v>773</v>
      </c>
      <c r="B768">
        <v>24177.4</v>
      </c>
      <c r="C768">
        <v>24203.3</v>
      </c>
      <c r="D768">
        <v>24171.9</v>
      </c>
      <c r="E768">
        <v>24196.75</v>
      </c>
      <c r="F768" s="2">
        <f t="shared" si="34"/>
        <v>31.399999999997817</v>
      </c>
      <c r="G768" s="3">
        <f t="shared" si="35"/>
        <v>35.545212602548808</v>
      </c>
      <c r="H768" t="str">
        <f t="shared" si="33"/>
        <v>2026-07</v>
      </c>
      <c r="I768">
        <v>3</v>
      </c>
    </row>
    <row r="769" spans="1:9" x14ac:dyDescent="0.25">
      <c r="A769" t="s">
        <v>774</v>
      </c>
      <c r="B769">
        <v>24198.15</v>
      </c>
      <c r="C769">
        <v>24207.3</v>
      </c>
      <c r="D769">
        <v>24186.15</v>
      </c>
      <c r="E769">
        <v>24193.35</v>
      </c>
      <c r="F769" s="2">
        <f t="shared" si="34"/>
        <v>21.149999999997817</v>
      </c>
      <c r="G769" s="3">
        <f t="shared" si="35"/>
        <v>34.516983130938023</v>
      </c>
      <c r="H769" t="str">
        <f t="shared" si="33"/>
        <v>2026-07</v>
      </c>
      <c r="I769">
        <v>3</v>
      </c>
    </row>
    <row r="770" spans="1:9" x14ac:dyDescent="0.25">
      <c r="A770" t="s">
        <v>775</v>
      </c>
      <c r="B770">
        <v>24194.85</v>
      </c>
      <c r="C770">
        <v>24199.95</v>
      </c>
      <c r="D770">
        <v>24173.599999999999</v>
      </c>
      <c r="E770">
        <v>24186.45</v>
      </c>
      <c r="F770" s="2">
        <f t="shared" si="34"/>
        <v>26.350000000002183</v>
      </c>
      <c r="G770" s="3">
        <f t="shared" si="35"/>
        <v>33.933627193014033</v>
      </c>
      <c r="H770" t="str">
        <f t="shared" ref="H770:H833" si="36">LEFT(A770,7)</f>
        <v>2026-07</v>
      </c>
      <c r="I770">
        <v>3</v>
      </c>
    </row>
    <row r="771" spans="1:9" x14ac:dyDescent="0.25">
      <c r="A771" t="s">
        <v>776</v>
      </c>
      <c r="B771">
        <v>24187</v>
      </c>
      <c r="C771">
        <v>24214.5</v>
      </c>
      <c r="D771">
        <v>24184.1</v>
      </c>
      <c r="E771">
        <v>24212.3</v>
      </c>
      <c r="F771" s="2">
        <f t="shared" ref="F771:F834" si="37">MAX(C771-D771,ABS(C771-E770),ABS(D771-E770))</f>
        <v>30.400000000001455</v>
      </c>
      <c r="G771" s="3">
        <f t="shared" si="35"/>
        <v>33.681225250655991</v>
      </c>
      <c r="H771" t="str">
        <f t="shared" si="36"/>
        <v>2026-07</v>
      </c>
      <c r="I771">
        <v>3</v>
      </c>
    </row>
    <row r="772" spans="1:9" x14ac:dyDescent="0.25">
      <c r="A772" t="s">
        <v>777</v>
      </c>
      <c r="B772">
        <v>24213.4</v>
      </c>
      <c r="C772">
        <v>24216.65</v>
      </c>
      <c r="D772">
        <v>24198.799999999999</v>
      </c>
      <c r="E772">
        <v>24208.5</v>
      </c>
      <c r="F772" s="2">
        <f t="shared" si="37"/>
        <v>17.850000000002183</v>
      </c>
      <c r="G772" s="3">
        <f t="shared" si="35"/>
        <v>32.550423447037865</v>
      </c>
      <c r="H772" t="str">
        <f t="shared" si="36"/>
        <v>2026-07</v>
      </c>
      <c r="I772">
        <v>3</v>
      </c>
    </row>
    <row r="773" spans="1:9" x14ac:dyDescent="0.25">
      <c r="A773" t="s">
        <v>778</v>
      </c>
      <c r="B773">
        <v>24210.45</v>
      </c>
      <c r="C773">
        <v>24228.45</v>
      </c>
      <c r="D773">
        <v>24188.6</v>
      </c>
      <c r="E773">
        <v>24198.45</v>
      </c>
      <c r="F773" s="2">
        <f t="shared" si="37"/>
        <v>39.850000000002183</v>
      </c>
      <c r="G773" s="3">
        <f t="shared" si="35"/>
        <v>33.071821772249599</v>
      </c>
      <c r="H773" t="str">
        <f t="shared" si="36"/>
        <v>2026-07</v>
      </c>
      <c r="I773">
        <v>3</v>
      </c>
    </row>
    <row r="774" spans="1:9" x14ac:dyDescent="0.25">
      <c r="A774" t="s">
        <v>779</v>
      </c>
      <c r="B774">
        <v>24199.599999999999</v>
      </c>
      <c r="C774">
        <v>24219.4</v>
      </c>
      <c r="D774">
        <v>24187.3</v>
      </c>
      <c r="E774">
        <v>24208.65</v>
      </c>
      <c r="F774" s="2">
        <f t="shared" si="37"/>
        <v>32.100000000002183</v>
      </c>
      <c r="G774" s="3">
        <f t="shared" si="35"/>
        <v>33.002405931374781</v>
      </c>
      <c r="H774" t="str">
        <f t="shared" si="36"/>
        <v>2026-07</v>
      </c>
      <c r="I774">
        <v>3</v>
      </c>
    </row>
    <row r="775" spans="1:9" x14ac:dyDescent="0.25">
      <c r="A775" t="s">
        <v>780</v>
      </c>
      <c r="B775">
        <v>24208.35</v>
      </c>
      <c r="C775">
        <v>24220.95</v>
      </c>
      <c r="D775">
        <v>24197.25</v>
      </c>
      <c r="E775">
        <v>24211.65</v>
      </c>
      <c r="F775" s="2">
        <f t="shared" si="37"/>
        <v>23.700000000000728</v>
      </c>
      <c r="G775" s="3">
        <f t="shared" si="35"/>
        <v>32.33794836484806</v>
      </c>
      <c r="H775" t="str">
        <f t="shared" si="36"/>
        <v>2026-07</v>
      </c>
      <c r="I775">
        <v>3</v>
      </c>
    </row>
    <row r="776" spans="1:9" x14ac:dyDescent="0.25">
      <c r="A776" t="s">
        <v>781</v>
      </c>
      <c r="B776">
        <v>24026.85</v>
      </c>
      <c r="C776">
        <v>24044.45</v>
      </c>
      <c r="D776">
        <v>24000.2</v>
      </c>
      <c r="E776">
        <v>24027.9</v>
      </c>
      <c r="F776" s="2">
        <f t="shared" si="37"/>
        <v>211.45000000000073</v>
      </c>
      <c r="G776" s="3">
        <f t="shared" si="35"/>
        <v>45.131666338787532</v>
      </c>
      <c r="H776" t="str">
        <f t="shared" si="36"/>
        <v>2026-07</v>
      </c>
      <c r="I776">
        <v>3</v>
      </c>
    </row>
    <row r="777" spans="1:9" x14ac:dyDescent="0.25">
      <c r="A777" t="s">
        <v>782</v>
      </c>
      <c r="B777">
        <v>24027.45</v>
      </c>
      <c r="C777">
        <v>24090.05</v>
      </c>
      <c r="D777">
        <v>24019.35</v>
      </c>
      <c r="E777">
        <v>24075</v>
      </c>
      <c r="F777" s="2">
        <f t="shared" si="37"/>
        <v>70.700000000000728</v>
      </c>
      <c r="G777" s="3">
        <f t="shared" si="35"/>
        <v>46.957975886017046</v>
      </c>
      <c r="H777" t="str">
        <f t="shared" si="36"/>
        <v>2026-07</v>
      </c>
      <c r="I777">
        <v>3</v>
      </c>
    </row>
    <row r="778" spans="1:9" x14ac:dyDescent="0.25">
      <c r="A778" t="s">
        <v>783</v>
      </c>
      <c r="B778">
        <v>24076.15</v>
      </c>
      <c r="C778">
        <v>24122.45</v>
      </c>
      <c r="D778">
        <v>24070.35</v>
      </c>
      <c r="E778">
        <v>24119.599999999999</v>
      </c>
      <c r="F778" s="2">
        <f t="shared" si="37"/>
        <v>52.100000000002183</v>
      </c>
      <c r="G778" s="3">
        <f t="shared" si="35"/>
        <v>47.325263322730272</v>
      </c>
      <c r="H778" t="str">
        <f t="shared" si="36"/>
        <v>2026-07</v>
      </c>
      <c r="I778">
        <v>3</v>
      </c>
    </row>
    <row r="779" spans="1:9" x14ac:dyDescent="0.25">
      <c r="A779" t="s">
        <v>784</v>
      </c>
      <c r="B779">
        <v>24121.200000000001</v>
      </c>
      <c r="C779">
        <v>24128.799999999999</v>
      </c>
      <c r="D779">
        <v>24092.799999999999</v>
      </c>
      <c r="E779">
        <v>24112.95</v>
      </c>
      <c r="F779" s="2">
        <f t="shared" si="37"/>
        <v>36</v>
      </c>
      <c r="G779" s="3">
        <f t="shared" si="35"/>
        <v>46.51631594253525</v>
      </c>
      <c r="H779" t="str">
        <f t="shared" si="36"/>
        <v>2026-07</v>
      </c>
      <c r="I779">
        <v>3</v>
      </c>
    </row>
    <row r="780" spans="1:9" x14ac:dyDescent="0.25">
      <c r="A780" t="s">
        <v>785</v>
      </c>
      <c r="B780">
        <v>24114.15</v>
      </c>
      <c r="C780">
        <v>24157.4</v>
      </c>
      <c r="D780">
        <v>24104.6</v>
      </c>
      <c r="E780">
        <v>24145.200000000001</v>
      </c>
      <c r="F780" s="2">
        <f t="shared" si="37"/>
        <v>52.80000000000291</v>
      </c>
      <c r="G780" s="3">
        <f t="shared" si="35"/>
        <v>46.965150518068654</v>
      </c>
      <c r="H780" t="str">
        <f t="shared" si="36"/>
        <v>2026-07</v>
      </c>
      <c r="I780">
        <v>3</v>
      </c>
    </row>
    <row r="781" spans="1:9" x14ac:dyDescent="0.25">
      <c r="A781" t="s">
        <v>786</v>
      </c>
      <c r="B781">
        <v>24145.8</v>
      </c>
      <c r="C781">
        <v>24156.85</v>
      </c>
      <c r="D781">
        <v>24132</v>
      </c>
      <c r="E781">
        <v>24141.5</v>
      </c>
      <c r="F781" s="2">
        <f t="shared" si="37"/>
        <v>24.849999999998545</v>
      </c>
      <c r="G781" s="3">
        <f t="shared" si="35"/>
        <v>45.38549690963508</v>
      </c>
      <c r="H781" t="str">
        <f t="shared" si="36"/>
        <v>2026-07</v>
      </c>
      <c r="I781">
        <v>3</v>
      </c>
    </row>
    <row r="782" spans="1:9" x14ac:dyDescent="0.25">
      <c r="A782" t="s">
        <v>787</v>
      </c>
      <c r="B782">
        <v>24141.65</v>
      </c>
      <c r="C782">
        <v>24147.3</v>
      </c>
      <c r="D782">
        <v>24117</v>
      </c>
      <c r="E782">
        <v>24132.3</v>
      </c>
      <c r="F782" s="2">
        <f t="shared" si="37"/>
        <v>30.299999999999272</v>
      </c>
      <c r="G782" s="3">
        <f t="shared" si="35"/>
        <v>44.307961416089661</v>
      </c>
      <c r="H782" t="str">
        <f t="shared" si="36"/>
        <v>2026-07</v>
      </c>
      <c r="I782">
        <v>3</v>
      </c>
    </row>
    <row r="783" spans="1:9" x14ac:dyDescent="0.25">
      <c r="A783" t="s">
        <v>788</v>
      </c>
      <c r="B783">
        <v>24132.6</v>
      </c>
      <c r="C783">
        <v>24162.05</v>
      </c>
      <c r="D783">
        <v>24116.2</v>
      </c>
      <c r="E783">
        <v>24147.4</v>
      </c>
      <c r="F783" s="2">
        <f t="shared" si="37"/>
        <v>45.849999999998545</v>
      </c>
      <c r="G783" s="3">
        <f t="shared" si="35"/>
        <v>44.418107029226007</v>
      </c>
      <c r="H783" t="str">
        <f t="shared" si="36"/>
        <v>2026-07</v>
      </c>
      <c r="I783">
        <v>3</v>
      </c>
    </row>
    <row r="784" spans="1:9" x14ac:dyDescent="0.25">
      <c r="A784" t="s">
        <v>789</v>
      </c>
      <c r="B784">
        <v>24146.7</v>
      </c>
      <c r="C784">
        <v>24158.799999999999</v>
      </c>
      <c r="D784">
        <v>24133</v>
      </c>
      <c r="E784">
        <v>24138.400000000001</v>
      </c>
      <c r="F784" s="2">
        <f t="shared" si="37"/>
        <v>25.799999999999272</v>
      </c>
      <c r="G784" s="3">
        <f t="shared" ref="G784:G847" si="38">(G783*13+F784)/14</f>
        <v>43.088242241424098</v>
      </c>
      <c r="H784" t="str">
        <f t="shared" si="36"/>
        <v>2026-07</v>
      </c>
      <c r="I784">
        <v>3</v>
      </c>
    </row>
    <row r="785" spans="1:9" x14ac:dyDescent="0.25">
      <c r="A785" t="s">
        <v>790</v>
      </c>
      <c r="B785">
        <v>24138.15</v>
      </c>
      <c r="C785">
        <v>24152.1</v>
      </c>
      <c r="D785">
        <v>24123.25</v>
      </c>
      <c r="E785">
        <v>24130.5</v>
      </c>
      <c r="F785" s="2">
        <f t="shared" si="37"/>
        <v>28.849999999998545</v>
      </c>
      <c r="G785" s="3">
        <f t="shared" si="38"/>
        <v>42.071224938465129</v>
      </c>
      <c r="H785" t="str">
        <f t="shared" si="36"/>
        <v>2026-07</v>
      </c>
      <c r="I785">
        <v>3</v>
      </c>
    </row>
    <row r="786" spans="1:9" x14ac:dyDescent="0.25">
      <c r="A786" t="s">
        <v>791</v>
      </c>
      <c r="B786">
        <v>24130.65</v>
      </c>
      <c r="C786">
        <v>24156.65</v>
      </c>
      <c r="D786">
        <v>24130.55</v>
      </c>
      <c r="E786">
        <v>24141.35</v>
      </c>
      <c r="F786" s="2">
        <f t="shared" si="37"/>
        <v>26.150000000001455</v>
      </c>
      <c r="G786" s="3">
        <f t="shared" si="38"/>
        <v>40.93399458571772</v>
      </c>
      <c r="H786" t="str">
        <f t="shared" si="36"/>
        <v>2026-07</v>
      </c>
      <c r="I786">
        <v>3</v>
      </c>
    </row>
    <row r="787" spans="1:9" x14ac:dyDescent="0.25">
      <c r="A787" t="s">
        <v>792</v>
      </c>
      <c r="B787">
        <v>24140.5</v>
      </c>
      <c r="C787">
        <v>24195.599999999999</v>
      </c>
      <c r="D787">
        <v>24139.65</v>
      </c>
      <c r="E787">
        <v>24181.85</v>
      </c>
      <c r="F787" s="2">
        <f t="shared" si="37"/>
        <v>55.94999999999709</v>
      </c>
      <c r="G787" s="3">
        <f t="shared" si="38"/>
        <v>42.006566401023392</v>
      </c>
      <c r="H787" t="str">
        <f t="shared" si="36"/>
        <v>2026-07</v>
      </c>
      <c r="I787">
        <v>3</v>
      </c>
    </row>
    <row r="788" spans="1:9" x14ac:dyDescent="0.25">
      <c r="A788" t="s">
        <v>793</v>
      </c>
      <c r="B788">
        <v>24182</v>
      </c>
      <c r="C788">
        <v>24198.55</v>
      </c>
      <c r="D788">
        <v>24168.9</v>
      </c>
      <c r="E788">
        <v>24181.9</v>
      </c>
      <c r="F788" s="2">
        <f t="shared" si="37"/>
        <v>29.649999999997817</v>
      </c>
      <c r="G788" s="3">
        <f t="shared" si="38"/>
        <v>41.123954515235845</v>
      </c>
      <c r="H788" t="str">
        <f t="shared" si="36"/>
        <v>2026-07</v>
      </c>
      <c r="I788">
        <v>3</v>
      </c>
    </row>
    <row r="789" spans="1:9" x14ac:dyDescent="0.25">
      <c r="A789" t="s">
        <v>794</v>
      </c>
      <c r="B789">
        <v>24181.75</v>
      </c>
      <c r="C789">
        <v>24216.65</v>
      </c>
      <c r="D789">
        <v>24172.65</v>
      </c>
      <c r="E789">
        <v>24214.9</v>
      </c>
      <c r="F789" s="2">
        <f t="shared" si="37"/>
        <v>44</v>
      </c>
      <c r="G789" s="3">
        <f t="shared" si="38"/>
        <v>41.329386335576139</v>
      </c>
      <c r="H789" t="str">
        <f t="shared" si="36"/>
        <v>2026-07</v>
      </c>
      <c r="I789">
        <v>3</v>
      </c>
    </row>
    <row r="790" spans="1:9" x14ac:dyDescent="0.25">
      <c r="A790" t="s">
        <v>795</v>
      </c>
      <c r="B790">
        <v>24214.75</v>
      </c>
      <c r="C790">
        <v>24259.8</v>
      </c>
      <c r="D790">
        <v>24209.599999999999</v>
      </c>
      <c r="E790">
        <v>24223.95</v>
      </c>
      <c r="F790" s="2">
        <f t="shared" si="37"/>
        <v>50.200000000000728</v>
      </c>
      <c r="G790" s="3">
        <f t="shared" si="38"/>
        <v>41.963001597320748</v>
      </c>
      <c r="H790" t="str">
        <f t="shared" si="36"/>
        <v>2026-07</v>
      </c>
      <c r="I790">
        <v>3</v>
      </c>
    </row>
    <row r="791" spans="1:9" x14ac:dyDescent="0.25">
      <c r="A791" t="s">
        <v>796</v>
      </c>
      <c r="B791">
        <v>24223.75</v>
      </c>
      <c r="C791">
        <v>24225.200000000001</v>
      </c>
      <c r="D791">
        <v>24206.3</v>
      </c>
      <c r="E791">
        <v>24223</v>
      </c>
      <c r="F791" s="2">
        <f t="shared" si="37"/>
        <v>18.900000000001455</v>
      </c>
      <c r="G791" s="3">
        <f t="shared" si="38"/>
        <v>40.315644340369367</v>
      </c>
      <c r="H791" t="str">
        <f t="shared" si="36"/>
        <v>2026-07</v>
      </c>
      <c r="I791">
        <v>3</v>
      </c>
    </row>
    <row r="792" spans="1:9" x14ac:dyDescent="0.25">
      <c r="A792" t="s">
        <v>797</v>
      </c>
      <c r="B792">
        <v>24222</v>
      </c>
      <c r="C792">
        <v>24222.65</v>
      </c>
      <c r="D792">
        <v>24161.8</v>
      </c>
      <c r="E792">
        <v>24171.599999999999</v>
      </c>
      <c r="F792" s="2">
        <f t="shared" si="37"/>
        <v>61.200000000000728</v>
      </c>
      <c r="G792" s="3">
        <f t="shared" si="38"/>
        <v>41.807384030343037</v>
      </c>
      <c r="H792" t="str">
        <f t="shared" si="36"/>
        <v>2026-07</v>
      </c>
      <c r="I792">
        <v>3</v>
      </c>
    </row>
    <row r="793" spans="1:9" x14ac:dyDescent="0.25">
      <c r="A793" t="s">
        <v>798</v>
      </c>
      <c r="B793">
        <v>24171.4</v>
      </c>
      <c r="C793">
        <v>24203.8</v>
      </c>
      <c r="D793">
        <v>24169.3</v>
      </c>
      <c r="E793">
        <v>24191.95</v>
      </c>
      <c r="F793" s="2">
        <f t="shared" si="37"/>
        <v>34.5</v>
      </c>
      <c r="G793" s="3">
        <f t="shared" si="38"/>
        <v>41.285428028175673</v>
      </c>
      <c r="H793" t="str">
        <f t="shared" si="36"/>
        <v>2026-07</v>
      </c>
      <c r="I793">
        <v>3</v>
      </c>
    </row>
    <row r="794" spans="1:9" x14ac:dyDescent="0.25">
      <c r="A794" t="s">
        <v>799</v>
      </c>
      <c r="B794">
        <v>24191</v>
      </c>
      <c r="C794">
        <v>24200.95</v>
      </c>
      <c r="D794">
        <v>24186.05</v>
      </c>
      <c r="E794">
        <v>24196.799999999999</v>
      </c>
      <c r="F794" s="2">
        <f t="shared" si="37"/>
        <v>14.900000000001455</v>
      </c>
      <c r="G794" s="3">
        <f t="shared" si="38"/>
        <v>39.400754597591799</v>
      </c>
      <c r="H794" t="str">
        <f t="shared" si="36"/>
        <v>2026-07</v>
      </c>
      <c r="I794">
        <v>3</v>
      </c>
    </row>
    <row r="795" spans="1:9" x14ac:dyDescent="0.25">
      <c r="A795" t="s">
        <v>800</v>
      </c>
      <c r="B795">
        <v>24197.35</v>
      </c>
      <c r="C795">
        <v>24216.6</v>
      </c>
      <c r="D795">
        <v>24190.2</v>
      </c>
      <c r="E795">
        <v>24215.75</v>
      </c>
      <c r="F795" s="2">
        <f t="shared" si="37"/>
        <v>26.399999999997817</v>
      </c>
      <c r="G795" s="3">
        <f t="shared" si="38"/>
        <v>38.47212926919223</v>
      </c>
      <c r="H795" t="str">
        <f t="shared" si="36"/>
        <v>2026-07</v>
      </c>
      <c r="I795">
        <v>3</v>
      </c>
    </row>
    <row r="796" spans="1:9" x14ac:dyDescent="0.25">
      <c r="A796" t="s">
        <v>801</v>
      </c>
      <c r="B796">
        <v>24215.35</v>
      </c>
      <c r="C796">
        <v>24238.25</v>
      </c>
      <c r="D796">
        <v>24209.75</v>
      </c>
      <c r="E796">
        <v>24229.9</v>
      </c>
      <c r="F796" s="2">
        <f t="shared" si="37"/>
        <v>28.5</v>
      </c>
      <c r="G796" s="3">
        <f t="shared" si="38"/>
        <v>37.759834321392781</v>
      </c>
      <c r="H796" t="str">
        <f t="shared" si="36"/>
        <v>2026-07</v>
      </c>
      <c r="I796">
        <v>3</v>
      </c>
    </row>
    <row r="797" spans="1:9" x14ac:dyDescent="0.25">
      <c r="A797" t="s">
        <v>802</v>
      </c>
      <c r="B797">
        <v>24229.4</v>
      </c>
      <c r="C797">
        <v>24235</v>
      </c>
      <c r="D797">
        <v>24214.05</v>
      </c>
      <c r="E797">
        <v>24228.45</v>
      </c>
      <c r="F797" s="2">
        <f t="shared" si="37"/>
        <v>20.950000000000728</v>
      </c>
      <c r="G797" s="3">
        <f t="shared" si="38"/>
        <v>36.559131869864778</v>
      </c>
      <c r="H797" t="str">
        <f t="shared" si="36"/>
        <v>2026-07</v>
      </c>
      <c r="I797">
        <v>3</v>
      </c>
    </row>
    <row r="798" spans="1:9" x14ac:dyDescent="0.25">
      <c r="A798" t="s">
        <v>803</v>
      </c>
      <c r="B798">
        <v>24227.95</v>
      </c>
      <c r="C798">
        <v>24250.85</v>
      </c>
      <c r="D798">
        <v>24226.95</v>
      </c>
      <c r="E798">
        <v>24231.1</v>
      </c>
      <c r="F798" s="2">
        <f t="shared" si="37"/>
        <v>23.899999999997817</v>
      </c>
      <c r="G798" s="3">
        <f t="shared" si="38"/>
        <v>35.654908164874278</v>
      </c>
      <c r="H798" t="str">
        <f t="shared" si="36"/>
        <v>2026-07</v>
      </c>
      <c r="I798">
        <v>3</v>
      </c>
    </row>
    <row r="799" spans="1:9" x14ac:dyDescent="0.25">
      <c r="A799" t="s">
        <v>804</v>
      </c>
      <c r="B799">
        <v>24229.7</v>
      </c>
      <c r="C799">
        <v>24233.55</v>
      </c>
      <c r="D799">
        <v>24201.35</v>
      </c>
      <c r="E799">
        <v>24205.3</v>
      </c>
      <c r="F799" s="2">
        <f t="shared" si="37"/>
        <v>32.200000000000728</v>
      </c>
      <c r="G799" s="3">
        <f t="shared" si="38"/>
        <v>35.408129010240451</v>
      </c>
      <c r="H799" t="str">
        <f t="shared" si="36"/>
        <v>2026-07</v>
      </c>
      <c r="I799">
        <v>3</v>
      </c>
    </row>
    <row r="800" spans="1:9" x14ac:dyDescent="0.25">
      <c r="A800" t="s">
        <v>805</v>
      </c>
      <c r="B800">
        <v>24205.7</v>
      </c>
      <c r="C800">
        <v>24209.7</v>
      </c>
      <c r="D800">
        <v>24191.9</v>
      </c>
      <c r="E800">
        <v>24208.6</v>
      </c>
      <c r="F800" s="2">
        <f t="shared" si="37"/>
        <v>17.799999999999272</v>
      </c>
      <c r="G800" s="3">
        <f t="shared" si="38"/>
        <v>34.150405509508936</v>
      </c>
      <c r="H800" t="str">
        <f t="shared" si="36"/>
        <v>2026-07</v>
      </c>
      <c r="I800">
        <v>3</v>
      </c>
    </row>
    <row r="801" spans="1:9" x14ac:dyDescent="0.25">
      <c r="A801" t="s">
        <v>806</v>
      </c>
      <c r="B801">
        <v>24093.35</v>
      </c>
      <c r="C801">
        <v>24157.1</v>
      </c>
      <c r="D801">
        <v>24050.55</v>
      </c>
      <c r="E801">
        <v>24140.9</v>
      </c>
      <c r="F801" s="2">
        <f t="shared" si="37"/>
        <v>158.04999999999927</v>
      </c>
      <c r="G801" s="3">
        <f t="shared" si="38"/>
        <v>43.000376544543961</v>
      </c>
      <c r="H801" t="str">
        <f t="shared" si="36"/>
        <v>2026-07</v>
      </c>
      <c r="I801">
        <v>3</v>
      </c>
    </row>
    <row r="802" spans="1:9" x14ac:dyDescent="0.25">
      <c r="A802" t="s">
        <v>807</v>
      </c>
      <c r="B802">
        <v>24140.6</v>
      </c>
      <c r="C802">
        <v>24147.35</v>
      </c>
      <c r="D802">
        <v>24079.7</v>
      </c>
      <c r="E802">
        <v>24100.2</v>
      </c>
      <c r="F802" s="2">
        <f t="shared" si="37"/>
        <v>67.649999999997817</v>
      </c>
      <c r="G802" s="3">
        <f t="shared" si="38"/>
        <v>44.761063934219237</v>
      </c>
      <c r="H802" t="str">
        <f t="shared" si="36"/>
        <v>2026-07</v>
      </c>
      <c r="I802">
        <v>3</v>
      </c>
    </row>
    <row r="803" spans="1:9" x14ac:dyDescent="0.25">
      <c r="A803" t="s">
        <v>808</v>
      </c>
      <c r="B803">
        <v>24101.85</v>
      </c>
      <c r="C803">
        <v>24101.85</v>
      </c>
      <c r="D803">
        <v>24062.45</v>
      </c>
      <c r="E803">
        <v>24076.7</v>
      </c>
      <c r="F803" s="2">
        <f t="shared" si="37"/>
        <v>39.399999999997817</v>
      </c>
      <c r="G803" s="3">
        <f t="shared" si="38"/>
        <v>44.378130796060567</v>
      </c>
      <c r="H803" t="str">
        <f t="shared" si="36"/>
        <v>2026-07</v>
      </c>
      <c r="I803">
        <v>3</v>
      </c>
    </row>
    <row r="804" spans="1:9" x14ac:dyDescent="0.25">
      <c r="A804" t="s">
        <v>809</v>
      </c>
      <c r="B804">
        <v>24077.55</v>
      </c>
      <c r="C804">
        <v>24097.3</v>
      </c>
      <c r="D804">
        <v>24068.45</v>
      </c>
      <c r="E804">
        <v>24085.15</v>
      </c>
      <c r="F804" s="2">
        <f t="shared" si="37"/>
        <v>28.849999999998545</v>
      </c>
      <c r="G804" s="3">
        <f t="shared" si="38"/>
        <v>43.268978596341853</v>
      </c>
      <c r="H804" t="str">
        <f t="shared" si="36"/>
        <v>2026-07</v>
      </c>
      <c r="I804">
        <v>3</v>
      </c>
    </row>
    <row r="805" spans="1:9" x14ac:dyDescent="0.25">
      <c r="A805" t="s">
        <v>810</v>
      </c>
      <c r="B805">
        <v>24086.65</v>
      </c>
      <c r="C805">
        <v>24089</v>
      </c>
      <c r="D805">
        <v>24038.1</v>
      </c>
      <c r="E805">
        <v>24086.55</v>
      </c>
      <c r="F805" s="2">
        <f t="shared" si="37"/>
        <v>50.900000000001455</v>
      </c>
      <c r="G805" s="3">
        <f t="shared" si="38"/>
        <v>43.814051553746104</v>
      </c>
      <c r="H805" t="str">
        <f t="shared" si="36"/>
        <v>2026-07</v>
      </c>
      <c r="I805">
        <v>3</v>
      </c>
    </row>
    <row r="806" spans="1:9" x14ac:dyDescent="0.25">
      <c r="A806" t="s">
        <v>811</v>
      </c>
      <c r="B806">
        <v>24087.55</v>
      </c>
      <c r="C806">
        <v>24109.95</v>
      </c>
      <c r="D806">
        <v>24077.35</v>
      </c>
      <c r="E806">
        <v>24100.5</v>
      </c>
      <c r="F806" s="2">
        <f t="shared" si="37"/>
        <v>32.600000000002183</v>
      </c>
      <c r="G806" s="3">
        <f t="shared" si="38"/>
        <v>43.013047871335822</v>
      </c>
      <c r="H806" t="str">
        <f t="shared" si="36"/>
        <v>2026-07</v>
      </c>
      <c r="I806">
        <v>3</v>
      </c>
    </row>
    <row r="807" spans="1:9" x14ac:dyDescent="0.25">
      <c r="A807" t="s">
        <v>812</v>
      </c>
      <c r="B807">
        <v>24102.05</v>
      </c>
      <c r="C807">
        <v>24131.35</v>
      </c>
      <c r="D807">
        <v>24091.75</v>
      </c>
      <c r="E807">
        <v>24121.3</v>
      </c>
      <c r="F807" s="2">
        <f t="shared" si="37"/>
        <v>39.599999999998545</v>
      </c>
      <c r="G807" s="3">
        <f t="shared" si="38"/>
        <v>42.769258737668871</v>
      </c>
      <c r="H807" t="str">
        <f t="shared" si="36"/>
        <v>2026-07</v>
      </c>
      <c r="I807">
        <v>3</v>
      </c>
    </row>
    <row r="808" spans="1:9" x14ac:dyDescent="0.25">
      <c r="A808" t="s">
        <v>813</v>
      </c>
      <c r="B808">
        <v>24122.400000000001</v>
      </c>
      <c r="C808">
        <v>24146.35</v>
      </c>
      <c r="D808">
        <v>24119.15</v>
      </c>
      <c r="E808">
        <v>24139.200000000001</v>
      </c>
      <c r="F808" s="2">
        <f t="shared" si="37"/>
        <v>27.19999999999709</v>
      </c>
      <c r="G808" s="3">
        <f t="shared" si="38"/>
        <v>41.657168827835171</v>
      </c>
      <c r="H808" t="str">
        <f t="shared" si="36"/>
        <v>2026-07</v>
      </c>
      <c r="I808">
        <v>3</v>
      </c>
    </row>
    <row r="809" spans="1:9" x14ac:dyDescent="0.25">
      <c r="A809" t="s">
        <v>814</v>
      </c>
      <c r="B809">
        <v>24141.200000000001</v>
      </c>
      <c r="C809">
        <v>24145.4</v>
      </c>
      <c r="D809">
        <v>24120.3</v>
      </c>
      <c r="E809">
        <v>24141.15</v>
      </c>
      <c r="F809" s="2">
        <f t="shared" si="37"/>
        <v>25.100000000002183</v>
      </c>
      <c r="G809" s="3">
        <f t="shared" si="38"/>
        <v>40.474513911561381</v>
      </c>
      <c r="H809" t="str">
        <f t="shared" si="36"/>
        <v>2026-07</v>
      </c>
      <c r="I809">
        <v>3</v>
      </c>
    </row>
    <row r="810" spans="1:9" x14ac:dyDescent="0.25">
      <c r="A810" t="s">
        <v>815</v>
      </c>
      <c r="B810">
        <v>24142.2</v>
      </c>
      <c r="C810">
        <v>24142.2</v>
      </c>
      <c r="D810">
        <v>24096.05</v>
      </c>
      <c r="E810">
        <v>24105</v>
      </c>
      <c r="F810" s="2">
        <f t="shared" si="37"/>
        <v>46.150000000001455</v>
      </c>
      <c r="G810" s="3">
        <f t="shared" si="38"/>
        <v>40.879905775021385</v>
      </c>
      <c r="H810" t="str">
        <f t="shared" si="36"/>
        <v>2026-07</v>
      </c>
      <c r="I810">
        <v>3</v>
      </c>
    </row>
    <row r="811" spans="1:9" x14ac:dyDescent="0.25">
      <c r="A811" t="s">
        <v>816</v>
      </c>
      <c r="B811">
        <v>24106.15</v>
      </c>
      <c r="C811">
        <v>24126.95</v>
      </c>
      <c r="D811">
        <v>24092.55</v>
      </c>
      <c r="E811">
        <v>24102.2</v>
      </c>
      <c r="F811" s="2">
        <f t="shared" si="37"/>
        <v>34.400000000001455</v>
      </c>
      <c r="G811" s="3">
        <f t="shared" si="38"/>
        <v>40.417055362519967</v>
      </c>
      <c r="H811" t="str">
        <f t="shared" si="36"/>
        <v>2026-07</v>
      </c>
      <c r="I811">
        <v>3</v>
      </c>
    </row>
    <row r="812" spans="1:9" x14ac:dyDescent="0.25">
      <c r="A812" t="s">
        <v>817</v>
      </c>
      <c r="B812">
        <v>24103</v>
      </c>
      <c r="C812">
        <v>24116.25</v>
      </c>
      <c r="D812">
        <v>24085.45</v>
      </c>
      <c r="E812">
        <v>24091.9</v>
      </c>
      <c r="F812" s="2">
        <f t="shared" si="37"/>
        <v>30.799999999999272</v>
      </c>
      <c r="G812" s="3">
        <f t="shared" si="38"/>
        <v>39.730122836625632</v>
      </c>
      <c r="H812" t="str">
        <f t="shared" si="36"/>
        <v>2026-07</v>
      </c>
      <c r="I812">
        <v>3</v>
      </c>
    </row>
    <row r="813" spans="1:9" x14ac:dyDescent="0.25">
      <c r="A813" t="s">
        <v>818</v>
      </c>
      <c r="B813">
        <v>24093.35</v>
      </c>
      <c r="C813">
        <v>24093.35</v>
      </c>
      <c r="D813">
        <v>24054.85</v>
      </c>
      <c r="E813">
        <v>24059.599999999999</v>
      </c>
      <c r="F813" s="2">
        <f t="shared" si="37"/>
        <v>38.5</v>
      </c>
      <c r="G813" s="3">
        <f t="shared" si="38"/>
        <v>39.642256919723806</v>
      </c>
      <c r="H813" t="str">
        <f t="shared" si="36"/>
        <v>2026-07</v>
      </c>
      <c r="I813">
        <v>3</v>
      </c>
    </row>
    <row r="814" spans="1:9" x14ac:dyDescent="0.25">
      <c r="A814" t="s">
        <v>819</v>
      </c>
      <c r="B814">
        <v>24061.75</v>
      </c>
      <c r="C814">
        <v>24083.25</v>
      </c>
      <c r="D814">
        <v>24057.5</v>
      </c>
      <c r="E814">
        <v>24079.15</v>
      </c>
      <c r="F814" s="2">
        <f t="shared" si="37"/>
        <v>25.75</v>
      </c>
      <c r="G814" s="3">
        <f t="shared" si="38"/>
        <v>38.649952854029252</v>
      </c>
      <c r="H814" t="str">
        <f t="shared" si="36"/>
        <v>2026-07</v>
      </c>
      <c r="I814">
        <v>3</v>
      </c>
    </row>
    <row r="815" spans="1:9" x14ac:dyDescent="0.25">
      <c r="A815" t="s">
        <v>820</v>
      </c>
      <c r="B815">
        <v>24080.1</v>
      </c>
      <c r="C815">
        <v>24097</v>
      </c>
      <c r="D815">
        <v>24070.2</v>
      </c>
      <c r="E815">
        <v>24078</v>
      </c>
      <c r="F815" s="2">
        <f t="shared" si="37"/>
        <v>26.799999999999272</v>
      </c>
      <c r="G815" s="3">
        <f t="shared" si="38"/>
        <v>37.803527650169976</v>
      </c>
      <c r="H815" t="str">
        <f t="shared" si="36"/>
        <v>2026-07</v>
      </c>
      <c r="I815">
        <v>3</v>
      </c>
    </row>
    <row r="816" spans="1:9" x14ac:dyDescent="0.25">
      <c r="A816" t="s">
        <v>821</v>
      </c>
      <c r="B816">
        <v>24080.2</v>
      </c>
      <c r="C816">
        <v>24092.75</v>
      </c>
      <c r="D816">
        <v>24063.65</v>
      </c>
      <c r="E816">
        <v>24081.45</v>
      </c>
      <c r="F816" s="2">
        <f t="shared" si="37"/>
        <v>29.099999999998545</v>
      </c>
      <c r="G816" s="3">
        <f t="shared" si="38"/>
        <v>37.181847103729162</v>
      </c>
      <c r="H816" t="str">
        <f t="shared" si="36"/>
        <v>2026-07</v>
      </c>
      <c r="I816">
        <v>3</v>
      </c>
    </row>
    <row r="817" spans="1:9" x14ac:dyDescent="0.25">
      <c r="A817" t="s">
        <v>822</v>
      </c>
      <c r="B817">
        <v>24082.95</v>
      </c>
      <c r="C817">
        <v>24097.35</v>
      </c>
      <c r="D817">
        <v>24070.400000000001</v>
      </c>
      <c r="E817">
        <v>24093.3</v>
      </c>
      <c r="F817" s="2">
        <f t="shared" si="37"/>
        <v>26.94999999999709</v>
      </c>
      <c r="G817" s="3">
        <f t="shared" si="38"/>
        <v>36.451000882034016</v>
      </c>
      <c r="H817" t="str">
        <f t="shared" si="36"/>
        <v>2026-07</v>
      </c>
      <c r="I817">
        <v>3</v>
      </c>
    </row>
    <row r="818" spans="1:9" x14ac:dyDescent="0.25">
      <c r="A818" t="s">
        <v>823</v>
      </c>
      <c r="B818">
        <v>24093.9</v>
      </c>
      <c r="C818">
        <v>24093.95</v>
      </c>
      <c r="D818">
        <v>24038.55</v>
      </c>
      <c r="E818">
        <v>24052.15</v>
      </c>
      <c r="F818" s="2">
        <f t="shared" si="37"/>
        <v>55.400000000001455</v>
      </c>
      <c r="G818" s="3">
        <f t="shared" si="38"/>
        <v>37.804500819031695</v>
      </c>
      <c r="H818" t="str">
        <f t="shared" si="36"/>
        <v>2026-07</v>
      </c>
      <c r="I818">
        <v>3</v>
      </c>
    </row>
    <row r="819" spans="1:9" x14ac:dyDescent="0.25">
      <c r="A819" t="s">
        <v>824</v>
      </c>
      <c r="B819">
        <v>24053.200000000001</v>
      </c>
      <c r="C819">
        <v>24073.25</v>
      </c>
      <c r="D819">
        <v>24051.85</v>
      </c>
      <c r="E819">
        <v>24065.05</v>
      </c>
      <c r="F819" s="2">
        <f t="shared" si="37"/>
        <v>21.400000000001455</v>
      </c>
      <c r="G819" s="3">
        <f t="shared" si="38"/>
        <v>36.632750760529532</v>
      </c>
      <c r="H819" t="str">
        <f t="shared" si="36"/>
        <v>2026-07</v>
      </c>
      <c r="I819">
        <v>3</v>
      </c>
    </row>
    <row r="820" spans="1:9" x14ac:dyDescent="0.25">
      <c r="A820" t="s">
        <v>825</v>
      </c>
      <c r="B820">
        <v>24065.4</v>
      </c>
      <c r="C820">
        <v>24071.55</v>
      </c>
      <c r="D820">
        <v>24048.6</v>
      </c>
      <c r="E820">
        <v>24064.45</v>
      </c>
      <c r="F820" s="2">
        <f t="shared" si="37"/>
        <v>22.950000000000728</v>
      </c>
      <c r="G820" s="3">
        <f t="shared" si="38"/>
        <v>35.65541142049176</v>
      </c>
      <c r="H820" t="str">
        <f t="shared" si="36"/>
        <v>2026-07</v>
      </c>
      <c r="I820">
        <v>3</v>
      </c>
    </row>
    <row r="821" spans="1:9" x14ac:dyDescent="0.25">
      <c r="A821" t="s">
        <v>826</v>
      </c>
      <c r="B821">
        <v>24066.3</v>
      </c>
      <c r="C821">
        <v>24068.95</v>
      </c>
      <c r="D821">
        <v>24040.3</v>
      </c>
      <c r="E821">
        <v>24046.400000000001</v>
      </c>
      <c r="F821" s="2">
        <f t="shared" si="37"/>
        <v>28.650000000001455</v>
      </c>
      <c r="G821" s="3">
        <f t="shared" si="38"/>
        <v>35.155024890456737</v>
      </c>
      <c r="H821" t="str">
        <f t="shared" si="36"/>
        <v>2026-07</v>
      </c>
      <c r="I821">
        <v>3</v>
      </c>
    </row>
    <row r="822" spans="1:9" x14ac:dyDescent="0.25">
      <c r="A822" t="s">
        <v>827</v>
      </c>
      <c r="B822">
        <v>24048.15</v>
      </c>
      <c r="C822">
        <v>24066.3</v>
      </c>
      <c r="D822">
        <v>24042</v>
      </c>
      <c r="E822">
        <v>24051.200000000001</v>
      </c>
      <c r="F822" s="2">
        <f t="shared" si="37"/>
        <v>24.299999999999272</v>
      </c>
      <c r="G822" s="3">
        <f t="shared" si="38"/>
        <v>34.379665969709777</v>
      </c>
      <c r="H822" t="str">
        <f t="shared" si="36"/>
        <v>2026-07</v>
      </c>
      <c r="I822">
        <v>3</v>
      </c>
    </row>
    <row r="823" spans="1:9" x14ac:dyDescent="0.25">
      <c r="A823" t="s">
        <v>828</v>
      </c>
      <c r="B823">
        <v>24053</v>
      </c>
      <c r="C823">
        <v>24053</v>
      </c>
      <c r="D823">
        <v>24023.7</v>
      </c>
      <c r="E823">
        <v>24040.55</v>
      </c>
      <c r="F823" s="2">
        <f t="shared" si="37"/>
        <v>29.299999999999272</v>
      </c>
      <c r="G823" s="3">
        <f t="shared" si="38"/>
        <v>34.016832686159027</v>
      </c>
      <c r="H823" t="str">
        <f t="shared" si="36"/>
        <v>2026-07</v>
      </c>
      <c r="I823">
        <v>3</v>
      </c>
    </row>
    <row r="824" spans="1:9" x14ac:dyDescent="0.25">
      <c r="A824" t="s">
        <v>829</v>
      </c>
      <c r="B824">
        <v>24041.55</v>
      </c>
      <c r="C824">
        <v>24075</v>
      </c>
      <c r="D824">
        <v>24041.55</v>
      </c>
      <c r="E824">
        <v>24052.05</v>
      </c>
      <c r="F824" s="2">
        <f t="shared" si="37"/>
        <v>34.450000000000728</v>
      </c>
      <c r="G824" s="3">
        <f t="shared" si="38"/>
        <v>34.047773208576288</v>
      </c>
      <c r="H824" t="str">
        <f t="shared" si="36"/>
        <v>2026-07</v>
      </c>
      <c r="I824">
        <v>3</v>
      </c>
    </row>
    <row r="825" spans="1:9" x14ac:dyDescent="0.25">
      <c r="A825" t="s">
        <v>830</v>
      </c>
      <c r="B825">
        <v>24052.5</v>
      </c>
      <c r="C825">
        <v>24057.05</v>
      </c>
      <c r="D825">
        <v>24027.45</v>
      </c>
      <c r="E825">
        <v>24035.15</v>
      </c>
      <c r="F825" s="2">
        <f t="shared" si="37"/>
        <v>29.599999999998545</v>
      </c>
      <c r="G825" s="3">
        <f t="shared" si="38"/>
        <v>33.73007512224931</v>
      </c>
      <c r="H825" t="str">
        <f t="shared" si="36"/>
        <v>2026-07</v>
      </c>
      <c r="I825">
        <v>3</v>
      </c>
    </row>
    <row r="826" spans="1:9" x14ac:dyDescent="0.25">
      <c r="A826" t="s">
        <v>831</v>
      </c>
      <c r="B826">
        <v>24086.05</v>
      </c>
      <c r="C826">
        <v>24211.75</v>
      </c>
      <c r="D826">
        <v>24069.05</v>
      </c>
      <c r="E826">
        <v>24195.7</v>
      </c>
      <c r="F826" s="2">
        <f t="shared" si="37"/>
        <v>176.59999999999854</v>
      </c>
      <c r="G826" s="3">
        <f t="shared" si="38"/>
        <v>43.935069756374254</v>
      </c>
      <c r="H826" t="str">
        <f t="shared" si="36"/>
        <v>2026-07</v>
      </c>
      <c r="I826">
        <v>3</v>
      </c>
    </row>
    <row r="827" spans="1:9" x14ac:dyDescent="0.25">
      <c r="A827" t="s">
        <v>832</v>
      </c>
      <c r="B827">
        <v>24196.5</v>
      </c>
      <c r="C827">
        <v>24218.15</v>
      </c>
      <c r="D827">
        <v>24187.7</v>
      </c>
      <c r="E827">
        <v>24195.1</v>
      </c>
      <c r="F827" s="2">
        <f t="shared" si="37"/>
        <v>30.450000000000728</v>
      </c>
      <c r="G827" s="3">
        <f t="shared" si="38"/>
        <v>42.971850488061861</v>
      </c>
      <c r="H827" t="str">
        <f t="shared" si="36"/>
        <v>2026-07</v>
      </c>
      <c r="I827">
        <v>3</v>
      </c>
    </row>
    <row r="828" spans="1:9" x14ac:dyDescent="0.25">
      <c r="A828" t="s">
        <v>833</v>
      </c>
      <c r="B828">
        <v>24195.55</v>
      </c>
      <c r="C828">
        <v>24207.4</v>
      </c>
      <c r="D828">
        <v>24184.1</v>
      </c>
      <c r="E828">
        <v>24184.95</v>
      </c>
      <c r="F828" s="2">
        <f t="shared" si="37"/>
        <v>23.30000000000291</v>
      </c>
      <c r="G828" s="3">
        <f t="shared" si="38"/>
        <v>41.566718310343369</v>
      </c>
      <c r="H828" t="str">
        <f t="shared" si="36"/>
        <v>2026-07</v>
      </c>
      <c r="I828">
        <v>3</v>
      </c>
    </row>
    <row r="829" spans="1:9" x14ac:dyDescent="0.25">
      <c r="A829" t="s">
        <v>834</v>
      </c>
      <c r="B829">
        <v>24185</v>
      </c>
      <c r="C829">
        <v>24203.55</v>
      </c>
      <c r="D829">
        <v>24173.5</v>
      </c>
      <c r="E829">
        <v>24202.3</v>
      </c>
      <c r="F829" s="2">
        <f t="shared" si="37"/>
        <v>30.049999999999272</v>
      </c>
      <c r="G829" s="3">
        <f t="shared" si="38"/>
        <v>40.74409557389022</v>
      </c>
      <c r="H829" t="str">
        <f t="shared" si="36"/>
        <v>2026-07</v>
      </c>
      <c r="I829">
        <v>3</v>
      </c>
    </row>
    <row r="830" spans="1:9" x14ac:dyDescent="0.25">
      <c r="A830" t="s">
        <v>835</v>
      </c>
      <c r="B830">
        <v>24202.2</v>
      </c>
      <c r="C830">
        <v>24220.35</v>
      </c>
      <c r="D830">
        <v>24200.400000000001</v>
      </c>
      <c r="E830">
        <v>24204.95</v>
      </c>
      <c r="F830" s="2">
        <f t="shared" si="37"/>
        <v>19.94999999999709</v>
      </c>
      <c r="G830" s="3">
        <f t="shared" si="38"/>
        <v>39.258803032897852</v>
      </c>
      <c r="H830" t="str">
        <f t="shared" si="36"/>
        <v>2026-07</v>
      </c>
      <c r="I830">
        <v>3</v>
      </c>
    </row>
    <row r="831" spans="1:9" x14ac:dyDescent="0.25">
      <c r="A831" t="s">
        <v>836</v>
      </c>
      <c r="B831">
        <v>24205.8</v>
      </c>
      <c r="C831">
        <v>24212.65</v>
      </c>
      <c r="D831">
        <v>24190.6</v>
      </c>
      <c r="E831">
        <v>24207.75</v>
      </c>
      <c r="F831" s="2">
        <f t="shared" si="37"/>
        <v>22.05000000000291</v>
      </c>
      <c r="G831" s="3">
        <f t="shared" si="38"/>
        <v>38.029602816262503</v>
      </c>
      <c r="H831" t="str">
        <f t="shared" si="36"/>
        <v>2026-07</v>
      </c>
      <c r="I831">
        <v>3</v>
      </c>
    </row>
    <row r="832" spans="1:9" x14ac:dyDescent="0.25">
      <c r="A832" t="s">
        <v>837</v>
      </c>
      <c r="B832">
        <v>24207.45</v>
      </c>
      <c r="C832">
        <v>24210.05</v>
      </c>
      <c r="D832">
        <v>24184.1</v>
      </c>
      <c r="E832">
        <v>24185</v>
      </c>
      <c r="F832" s="2">
        <f t="shared" si="37"/>
        <v>25.950000000000728</v>
      </c>
      <c r="G832" s="3">
        <f t="shared" si="38"/>
        <v>37.166774043672376</v>
      </c>
      <c r="H832" t="str">
        <f t="shared" si="36"/>
        <v>2026-07</v>
      </c>
      <c r="I832">
        <v>3</v>
      </c>
    </row>
    <row r="833" spans="1:9" x14ac:dyDescent="0.25">
      <c r="A833" t="s">
        <v>838</v>
      </c>
      <c r="B833">
        <v>24184.6</v>
      </c>
      <c r="C833">
        <v>24198.3</v>
      </c>
      <c r="D833">
        <v>24171</v>
      </c>
      <c r="E833">
        <v>24172.85</v>
      </c>
      <c r="F833" s="2">
        <f t="shared" si="37"/>
        <v>27.299999999999272</v>
      </c>
      <c r="G833" s="3">
        <f t="shared" si="38"/>
        <v>36.462004469124295</v>
      </c>
      <c r="H833" t="str">
        <f t="shared" si="36"/>
        <v>2026-07</v>
      </c>
      <c r="I833">
        <v>3</v>
      </c>
    </row>
    <row r="834" spans="1:9" x14ac:dyDescent="0.25">
      <c r="A834" t="s">
        <v>839</v>
      </c>
      <c r="B834">
        <v>24173.599999999999</v>
      </c>
      <c r="C834">
        <v>24206.15</v>
      </c>
      <c r="D834">
        <v>24172.15</v>
      </c>
      <c r="E834">
        <v>24202.65</v>
      </c>
      <c r="F834" s="2">
        <f t="shared" si="37"/>
        <v>34</v>
      </c>
      <c r="G834" s="3">
        <f t="shared" si="38"/>
        <v>36.286147007043986</v>
      </c>
      <c r="H834" t="str">
        <f t="shared" ref="H834:H897" si="39">LEFT(A834,7)</f>
        <v>2026-07</v>
      </c>
      <c r="I834">
        <v>3</v>
      </c>
    </row>
    <row r="835" spans="1:9" x14ac:dyDescent="0.25">
      <c r="A835" t="s">
        <v>840</v>
      </c>
      <c r="B835">
        <v>24202.45</v>
      </c>
      <c r="C835">
        <v>24214.65</v>
      </c>
      <c r="D835">
        <v>24173.35</v>
      </c>
      <c r="E835">
        <v>24174.400000000001</v>
      </c>
      <c r="F835" s="2">
        <f t="shared" ref="F835:F898" si="40">MAX(C835-D835,ABS(C835-E834),ABS(D835-E834))</f>
        <v>41.30000000000291</v>
      </c>
      <c r="G835" s="3">
        <f t="shared" si="38"/>
        <v>36.644279363683907</v>
      </c>
      <c r="H835" t="str">
        <f t="shared" si="39"/>
        <v>2026-07</v>
      </c>
      <c r="I835">
        <v>3</v>
      </c>
    </row>
    <row r="836" spans="1:9" x14ac:dyDescent="0.25">
      <c r="A836" t="s">
        <v>841</v>
      </c>
      <c r="B836">
        <v>24174.2</v>
      </c>
      <c r="C836">
        <v>24189.45</v>
      </c>
      <c r="D836">
        <v>24166.799999999999</v>
      </c>
      <c r="E836">
        <v>24180.799999999999</v>
      </c>
      <c r="F836" s="2">
        <f t="shared" si="40"/>
        <v>22.650000000001455</v>
      </c>
      <c r="G836" s="3">
        <f t="shared" si="38"/>
        <v>35.644687980563731</v>
      </c>
      <c r="H836" t="str">
        <f t="shared" si="39"/>
        <v>2026-07</v>
      </c>
      <c r="I836">
        <v>3</v>
      </c>
    </row>
    <row r="837" spans="1:9" x14ac:dyDescent="0.25">
      <c r="A837" t="s">
        <v>842</v>
      </c>
      <c r="B837">
        <v>24181.9</v>
      </c>
      <c r="C837">
        <v>24191.75</v>
      </c>
      <c r="D837">
        <v>24175</v>
      </c>
      <c r="E837">
        <v>24191.05</v>
      </c>
      <c r="F837" s="2">
        <f t="shared" si="40"/>
        <v>16.75</v>
      </c>
      <c r="G837" s="3">
        <f t="shared" si="38"/>
        <v>34.295067410523465</v>
      </c>
      <c r="H837" t="str">
        <f t="shared" si="39"/>
        <v>2026-07</v>
      </c>
      <c r="I837">
        <v>3</v>
      </c>
    </row>
    <row r="838" spans="1:9" x14ac:dyDescent="0.25">
      <c r="A838" t="s">
        <v>843</v>
      </c>
      <c r="B838">
        <v>24193.4</v>
      </c>
      <c r="C838">
        <v>24194.35</v>
      </c>
      <c r="D838">
        <v>24168.45</v>
      </c>
      <c r="E838">
        <v>24168.45</v>
      </c>
      <c r="F838" s="2">
        <f t="shared" si="40"/>
        <v>25.899999999997817</v>
      </c>
      <c r="G838" s="3">
        <f t="shared" si="38"/>
        <v>33.695419738343062</v>
      </c>
      <c r="H838" t="str">
        <f t="shared" si="39"/>
        <v>2026-07</v>
      </c>
      <c r="I838">
        <v>3</v>
      </c>
    </row>
    <row r="839" spans="1:9" x14ac:dyDescent="0.25">
      <c r="A839" t="s">
        <v>844</v>
      </c>
      <c r="B839">
        <v>24168.400000000001</v>
      </c>
      <c r="C839">
        <v>24174.2</v>
      </c>
      <c r="D839">
        <v>24143.15</v>
      </c>
      <c r="E839">
        <v>24160.1</v>
      </c>
      <c r="F839" s="2">
        <f t="shared" si="40"/>
        <v>31.049999999999272</v>
      </c>
      <c r="G839" s="3">
        <f t="shared" si="38"/>
        <v>33.506461185604216</v>
      </c>
      <c r="H839" t="str">
        <f t="shared" si="39"/>
        <v>2026-07</v>
      </c>
      <c r="I839">
        <v>3</v>
      </c>
    </row>
    <row r="840" spans="1:9" x14ac:dyDescent="0.25">
      <c r="A840" t="s">
        <v>845</v>
      </c>
      <c r="B840">
        <v>24160.15</v>
      </c>
      <c r="C840">
        <v>24162.7</v>
      </c>
      <c r="D840">
        <v>24010.55</v>
      </c>
      <c r="E840">
        <v>24054</v>
      </c>
      <c r="F840" s="2">
        <f t="shared" si="40"/>
        <v>152.15000000000146</v>
      </c>
      <c r="G840" s="3">
        <f t="shared" si="38"/>
        <v>41.980999672346876</v>
      </c>
      <c r="H840" t="str">
        <f t="shared" si="39"/>
        <v>2026-07</v>
      </c>
      <c r="I840">
        <v>3</v>
      </c>
    </row>
    <row r="841" spans="1:9" x14ac:dyDescent="0.25">
      <c r="A841" t="s">
        <v>846</v>
      </c>
      <c r="B841">
        <v>24053.4</v>
      </c>
      <c r="C841">
        <v>24077.7</v>
      </c>
      <c r="D841">
        <v>24039.3</v>
      </c>
      <c r="E841">
        <v>24054.400000000001</v>
      </c>
      <c r="F841" s="2">
        <f t="shared" si="40"/>
        <v>38.400000000001455</v>
      </c>
      <c r="G841" s="3">
        <f t="shared" si="38"/>
        <v>41.72521398146506</v>
      </c>
      <c r="H841" t="str">
        <f t="shared" si="39"/>
        <v>2026-07</v>
      </c>
      <c r="I841">
        <v>3</v>
      </c>
    </row>
    <row r="842" spans="1:9" x14ac:dyDescent="0.25">
      <c r="A842" t="s">
        <v>847</v>
      </c>
      <c r="B842">
        <v>24053.7</v>
      </c>
      <c r="C842">
        <v>24087.45</v>
      </c>
      <c r="D842">
        <v>24046.75</v>
      </c>
      <c r="E842">
        <v>24074.95</v>
      </c>
      <c r="F842" s="2">
        <f t="shared" si="40"/>
        <v>40.700000000000728</v>
      </c>
      <c r="G842" s="3">
        <f t="shared" si="38"/>
        <v>41.651984411360459</v>
      </c>
      <c r="H842" t="str">
        <f t="shared" si="39"/>
        <v>2026-07</v>
      </c>
      <c r="I842">
        <v>3</v>
      </c>
    </row>
    <row r="843" spans="1:9" x14ac:dyDescent="0.25">
      <c r="A843" t="s">
        <v>848</v>
      </c>
      <c r="B843">
        <v>24075</v>
      </c>
      <c r="C843">
        <v>24076.65</v>
      </c>
      <c r="D843">
        <v>24048.5</v>
      </c>
      <c r="E843">
        <v>24061.599999999999</v>
      </c>
      <c r="F843" s="2">
        <f t="shared" si="40"/>
        <v>28.150000000001455</v>
      </c>
      <c r="G843" s="3">
        <f t="shared" si="38"/>
        <v>40.687556953406251</v>
      </c>
      <c r="H843" t="str">
        <f t="shared" si="39"/>
        <v>2026-07</v>
      </c>
      <c r="I843">
        <v>3</v>
      </c>
    </row>
    <row r="844" spans="1:9" x14ac:dyDescent="0.25">
      <c r="A844" t="s">
        <v>849</v>
      </c>
      <c r="B844">
        <v>24061.3</v>
      </c>
      <c r="C844">
        <v>24080.3</v>
      </c>
      <c r="D844">
        <v>24044.85</v>
      </c>
      <c r="E844">
        <v>24078.35</v>
      </c>
      <c r="F844" s="2">
        <f t="shared" si="40"/>
        <v>35.450000000000728</v>
      </c>
      <c r="G844" s="3">
        <f t="shared" si="38"/>
        <v>40.313445742448714</v>
      </c>
      <c r="H844" t="str">
        <f t="shared" si="39"/>
        <v>2026-07</v>
      </c>
      <c r="I844">
        <v>3</v>
      </c>
    </row>
    <row r="845" spans="1:9" x14ac:dyDescent="0.25">
      <c r="A845" t="s">
        <v>850</v>
      </c>
      <c r="B845">
        <v>24077.9</v>
      </c>
      <c r="C845">
        <v>24098.799999999999</v>
      </c>
      <c r="D845">
        <v>24069.4</v>
      </c>
      <c r="E845">
        <v>24086.45</v>
      </c>
      <c r="F845" s="2">
        <f t="shared" si="40"/>
        <v>29.399999999997817</v>
      </c>
      <c r="G845" s="3">
        <f t="shared" si="38"/>
        <v>39.533913903702221</v>
      </c>
      <c r="H845" t="str">
        <f t="shared" si="39"/>
        <v>2026-07</v>
      </c>
      <c r="I845">
        <v>3</v>
      </c>
    </row>
    <row r="846" spans="1:9" x14ac:dyDescent="0.25">
      <c r="A846" t="s">
        <v>851</v>
      </c>
      <c r="B846">
        <v>24086.35</v>
      </c>
      <c r="C846">
        <v>24100.85</v>
      </c>
      <c r="D846">
        <v>24066.65</v>
      </c>
      <c r="E846">
        <v>24077.65</v>
      </c>
      <c r="F846" s="2">
        <f t="shared" si="40"/>
        <v>34.19999999999709</v>
      </c>
      <c r="G846" s="3">
        <f t="shared" si="38"/>
        <v>39.152920053437569</v>
      </c>
      <c r="H846" t="str">
        <f t="shared" si="39"/>
        <v>2026-07</v>
      </c>
      <c r="I846">
        <v>3</v>
      </c>
    </row>
    <row r="847" spans="1:9" x14ac:dyDescent="0.25">
      <c r="A847" t="s">
        <v>852</v>
      </c>
      <c r="B847">
        <v>24077.95</v>
      </c>
      <c r="C847">
        <v>24107.05</v>
      </c>
      <c r="D847">
        <v>24072.1</v>
      </c>
      <c r="E847">
        <v>24101.5</v>
      </c>
      <c r="F847" s="2">
        <f t="shared" si="40"/>
        <v>34.950000000000728</v>
      </c>
      <c r="G847" s="3">
        <f t="shared" si="38"/>
        <v>38.852711478192077</v>
      </c>
      <c r="H847" t="str">
        <f t="shared" si="39"/>
        <v>2026-07</v>
      </c>
      <c r="I847">
        <v>3</v>
      </c>
    </row>
    <row r="848" spans="1:9" x14ac:dyDescent="0.25">
      <c r="A848" t="s">
        <v>853</v>
      </c>
      <c r="B848">
        <v>24099.85</v>
      </c>
      <c r="C848">
        <v>24105.75</v>
      </c>
      <c r="D848">
        <v>24066.2</v>
      </c>
      <c r="E848">
        <v>24067.85</v>
      </c>
      <c r="F848" s="2">
        <f t="shared" si="40"/>
        <v>39.549999999999272</v>
      </c>
      <c r="G848" s="3">
        <f t="shared" ref="G848:G911" si="41">(G847*13+F848)/14</f>
        <v>38.902517801178305</v>
      </c>
      <c r="H848" t="str">
        <f t="shared" si="39"/>
        <v>2026-07</v>
      </c>
      <c r="I848">
        <v>3</v>
      </c>
    </row>
    <row r="849" spans="1:9" x14ac:dyDescent="0.25">
      <c r="A849" t="s">
        <v>854</v>
      </c>
      <c r="B849">
        <v>24067.15</v>
      </c>
      <c r="C849">
        <v>24091.599999999999</v>
      </c>
      <c r="D849">
        <v>24061.05</v>
      </c>
      <c r="E849">
        <v>24077.75</v>
      </c>
      <c r="F849" s="2">
        <f t="shared" si="40"/>
        <v>30.549999999999272</v>
      </c>
      <c r="G849" s="3">
        <f t="shared" si="41"/>
        <v>38.305909386808374</v>
      </c>
      <c r="H849" t="str">
        <f t="shared" si="39"/>
        <v>2026-07</v>
      </c>
      <c r="I849">
        <v>3</v>
      </c>
    </row>
    <row r="850" spans="1:9" x14ac:dyDescent="0.25">
      <c r="A850" t="s">
        <v>855</v>
      </c>
      <c r="B850">
        <v>24076.1</v>
      </c>
      <c r="C850">
        <v>24091.3</v>
      </c>
      <c r="D850">
        <v>24069.8</v>
      </c>
      <c r="E850">
        <v>24073.45</v>
      </c>
      <c r="F850" s="2">
        <f t="shared" si="40"/>
        <v>21.5</v>
      </c>
      <c r="G850" s="3">
        <f t="shared" si="41"/>
        <v>37.105487287750634</v>
      </c>
      <c r="H850" t="str">
        <f t="shared" si="39"/>
        <v>2026-07</v>
      </c>
      <c r="I850">
        <v>3</v>
      </c>
    </row>
    <row r="851" spans="1:9" x14ac:dyDescent="0.25">
      <c r="A851" t="s">
        <v>856</v>
      </c>
      <c r="B851">
        <v>24144.1</v>
      </c>
      <c r="C851">
        <v>24167.4</v>
      </c>
      <c r="D851">
        <v>24117.55</v>
      </c>
      <c r="E851">
        <v>24127.5</v>
      </c>
      <c r="F851" s="2">
        <f t="shared" si="40"/>
        <v>93.950000000000728</v>
      </c>
      <c r="G851" s="3">
        <f t="shared" si="41"/>
        <v>41.165809624339929</v>
      </c>
      <c r="H851" t="str">
        <f t="shared" si="39"/>
        <v>2026-07</v>
      </c>
      <c r="I851">
        <v>3</v>
      </c>
    </row>
    <row r="852" spans="1:9" x14ac:dyDescent="0.25">
      <c r="A852" t="s">
        <v>857</v>
      </c>
      <c r="B852">
        <v>24129.25</v>
      </c>
      <c r="C852">
        <v>24141.7</v>
      </c>
      <c r="D852">
        <v>24097.05</v>
      </c>
      <c r="E852">
        <v>24140.85</v>
      </c>
      <c r="F852" s="2">
        <f t="shared" si="40"/>
        <v>44.650000000001455</v>
      </c>
      <c r="G852" s="3">
        <f t="shared" si="41"/>
        <v>41.414680365458608</v>
      </c>
      <c r="H852" t="str">
        <f t="shared" si="39"/>
        <v>2026-07</v>
      </c>
      <c r="I852">
        <v>3</v>
      </c>
    </row>
    <row r="853" spans="1:9" x14ac:dyDescent="0.25">
      <c r="A853" t="s">
        <v>858</v>
      </c>
      <c r="B853">
        <v>24141.599999999999</v>
      </c>
      <c r="C853">
        <v>24145.75</v>
      </c>
      <c r="D853">
        <v>24111.65</v>
      </c>
      <c r="E853">
        <v>24128.1</v>
      </c>
      <c r="F853" s="2">
        <f t="shared" si="40"/>
        <v>34.099999999998545</v>
      </c>
      <c r="G853" s="3">
        <f t="shared" si="41"/>
        <v>40.892203196497178</v>
      </c>
      <c r="H853" t="str">
        <f t="shared" si="39"/>
        <v>2026-07</v>
      </c>
      <c r="I853">
        <v>3</v>
      </c>
    </row>
    <row r="854" spans="1:9" x14ac:dyDescent="0.25">
      <c r="A854" t="s">
        <v>859</v>
      </c>
      <c r="B854">
        <v>24128.15</v>
      </c>
      <c r="C854">
        <v>24141</v>
      </c>
      <c r="D854">
        <v>24114.799999999999</v>
      </c>
      <c r="E854">
        <v>24126.45</v>
      </c>
      <c r="F854" s="2">
        <f t="shared" si="40"/>
        <v>26.200000000000728</v>
      </c>
      <c r="G854" s="3">
        <f t="shared" si="41"/>
        <v>39.842760111033144</v>
      </c>
      <c r="H854" t="str">
        <f t="shared" si="39"/>
        <v>2026-07</v>
      </c>
      <c r="I854">
        <v>3</v>
      </c>
    </row>
    <row r="855" spans="1:9" x14ac:dyDescent="0.25">
      <c r="A855" t="s">
        <v>860</v>
      </c>
      <c r="B855">
        <v>24128.400000000001</v>
      </c>
      <c r="C855">
        <v>24140.400000000001</v>
      </c>
      <c r="D855">
        <v>24107.45</v>
      </c>
      <c r="E855">
        <v>24123.5</v>
      </c>
      <c r="F855" s="2">
        <f t="shared" si="40"/>
        <v>32.950000000000728</v>
      </c>
      <c r="G855" s="3">
        <f t="shared" si="41"/>
        <v>39.350420103102252</v>
      </c>
      <c r="H855" t="str">
        <f t="shared" si="39"/>
        <v>2026-07</v>
      </c>
      <c r="I855">
        <v>3</v>
      </c>
    </row>
    <row r="856" spans="1:9" x14ac:dyDescent="0.25">
      <c r="A856" t="s">
        <v>861</v>
      </c>
      <c r="B856">
        <v>24124.400000000001</v>
      </c>
      <c r="C856">
        <v>24126.75</v>
      </c>
      <c r="D856">
        <v>24109.55</v>
      </c>
      <c r="E856">
        <v>24126.55</v>
      </c>
      <c r="F856" s="2">
        <f t="shared" si="40"/>
        <v>17.200000000000728</v>
      </c>
      <c r="G856" s="3">
        <f t="shared" si="41"/>
        <v>37.768247238594995</v>
      </c>
      <c r="H856" t="str">
        <f t="shared" si="39"/>
        <v>2026-07</v>
      </c>
      <c r="I856">
        <v>3</v>
      </c>
    </row>
    <row r="857" spans="1:9" x14ac:dyDescent="0.25">
      <c r="A857" t="s">
        <v>862</v>
      </c>
      <c r="B857">
        <v>24127.45</v>
      </c>
      <c r="C857">
        <v>24169.35</v>
      </c>
      <c r="D857">
        <v>24123.95</v>
      </c>
      <c r="E857">
        <v>24168.6</v>
      </c>
      <c r="F857" s="2">
        <f t="shared" si="40"/>
        <v>45.399999999997817</v>
      </c>
      <c r="G857" s="3">
        <f t="shared" si="41"/>
        <v>38.313372435838055</v>
      </c>
      <c r="H857" t="str">
        <f t="shared" si="39"/>
        <v>2026-07</v>
      </c>
      <c r="I857">
        <v>3</v>
      </c>
    </row>
    <row r="858" spans="1:9" x14ac:dyDescent="0.25">
      <c r="A858" t="s">
        <v>863</v>
      </c>
      <c r="B858">
        <v>24170.799999999999</v>
      </c>
      <c r="C858">
        <v>24186.5</v>
      </c>
      <c r="D858">
        <v>24156.45</v>
      </c>
      <c r="E858">
        <v>24157.9</v>
      </c>
      <c r="F858" s="2">
        <f t="shared" si="40"/>
        <v>30.049999999999272</v>
      </c>
      <c r="G858" s="3">
        <f t="shared" si="41"/>
        <v>37.723131547563852</v>
      </c>
      <c r="H858" t="str">
        <f t="shared" si="39"/>
        <v>2026-07</v>
      </c>
      <c r="I858">
        <v>3</v>
      </c>
    </row>
    <row r="859" spans="1:9" x14ac:dyDescent="0.25">
      <c r="A859" t="s">
        <v>864</v>
      </c>
      <c r="B859">
        <v>24159.1</v>
      </c>
      <c r="C859">
        <v>24163.5</v>
      </c>
      <c r="D859">
        <v>24142.1</v>
      </c>
      <c r="E859">
        <v>24146.35</v>
      </c>
      <c r="F859" s="2">
        <f t="shared" si="40"/>
        <v>21.400000000001455</v>
      </c>
      <c r="G859" s="3">
        <f t="shared" si="41"/>
        <v>36.557193579880824</v>
      </c>
      <c r="H859" t="str">
        <f t="shared" si="39"/>
        <v>2026-07</v>
      </c>
      <c r="I859">
        <v>3</v>
      </c>
    </row>
    <row r="860" spans="1:9" x14ac:dyDescent="0.25">
      <c r="A860" t="s">
        <v>865</v>
      </c>
      <c r="B860">
        <v>24148.95</v>
      </c>
      <c r="C860">
        <v>24166.799999999999</v>
      </c>
      <c r="D860">
        <v>24143.55</v>
      </c>
      <c r="E860">
        <v>24149.5</v>
      </c>
      <c r="F860" s="2">
        <f t="shared" si="40"/>
        <v>23.25</v>
      </c>
      <c r="G860" s="3">
        <f t="shared" si="41"/>
        <v>35.60667975274648</v>
      </c>
      <c r="H860" t="str">
        <f t="shared" si="39"/>
        <v>2026-07</v>
      </c>
      <c r="I860">
        <v>3</v>
      </c>
    </row>
    <row r="861" spans="1:9" x14ac:dyDescent="0.25">
      <c r="A861" t="s">
        <v>866</v>
      </c>
      <c r="B861">
        <v>24151.55</v>
      </c>
      <c r="C861">
        <v>24155.4</v>
      </c>
      <c r="D861">
        <v>24139</v>
      </c>
      <c r="E861">
        <v>24151</v>
      </c>
      <c r="F861" s="2">
        <f t="shared" si="40"/>
        <v>16.400000000001455</v>
      </c>
      <c r="G861" s="3">
        <f t="shared" si="41"/>
        <v>34.234774056121836</v>
      </c>
      <c r="H861" t="str">
        <f t="shared" si="39"/>
        <v>2026-07</v>
      </c>
      <c r="I861">
        <v>3</v>
      </c>
    </row>
    <row r="862" spans="1:9" x14ac:dyDescent="0.25">
      <c r="A862" t="s">
        <v>867</v>
      </c>
      <c r="B862">
        <v>24153.05</v>
      </c>
      <c r="C862">
        <v>24154.05</v>
      </c>
      <c r="D862">
        <v>24132.45</v>
      </c>
      <c r="E862">
        <v>24133.9</v>
      </c>
      <c r="F862" s="2">
        <f t="shared" si="40"/>
        <v>21.599999999998545</v>
      </c>
      <c r="G862" s="3">
        <f t="shared" si="41"/>
        <v>33.332290194970177</v>
      </c>
      <c r="H862" t="str">
        <f t="shared" si="39"/>
        <v>2026-07</v>
      </c>
      <c r="I862">
        <v>3</v>
      </c>
    </row>
    <row r="863" spans="1:9" x14ac:dyDescent="0.25">
      <c r="A863" t="s">
        <v>868</v>
      </c>
      <c r="B863">
        <v>24136.3</v>
      </c>
      <c r="C863">
        <v>24163.45</v>
      </c>
      <c r="D863">
        <v>24131.95</v>
      </c>
      <c r="E863">
        <v>24159.599999999999</v>
      </c>
      <c r="F863" s="2">
        <f t="shared" si="40"/>
        <v>31.5</v>
      </c>
      <c r="G863" s="3">
        <f t="shared" si="41"/>
        <v>33.201412323900875</v>
      </c>
      <c r="H863" t="str">
        <f t="shared" si="39"/>
        <v>2026-07</v>
      </c>
      <c r="I863">
        <v>3</v>
      </c>
    </row>
    <row r="864" spans="1:9" x14ac:dyDescent="0.25">
      <c r="A864" t="s">
        <v>869</v>
      </c>
      <c r="B864">
        <v>24160.65</v>
      </c>
      <c r="C864">
        <v>24160.65</v>
      </c>
      <c r="D864">
        <v>24126.35</v>
      </c>
      <c r="E864">
        <v>24130.400000000001</v>
      </c>
      <c r="F864" s="2">
        <f t="shared" si="40"/>
        <v>34.30000000000291</v>
      </c>
      <c r="G864" s="3">
        <f t="shared" si="41"/>
        <v>33.27988287219388</v>
      </c>
      <c r="H864" t="str">
        <f t="shared" si="39"/>
        <v>2026-07</v>
      </c>
      <c r="I864">
        <v>3</v>
      </c>
    </row>
    <row r="865" spans="1:9" x14ac:dyDescent="0.25">
      <c r="A865" t="s">
        <v>870</v>
      </c>
      <c r="B865">
        <v>24133.1</v>
      </c>
      <c r="C865">
        <v>24136.25</v>
      </c>
      <c r="D865">
        <v>24120.25</v>
      </c>
      <c r="E865">
        <v>24124.3</v>
      </c>
      <c r="F865" s="2">
        <f t="shared" si="40"/>
        <v>16</v>
      </c>
      <c r="G865" s="3">
        <f t="shared" si="41"/>
        <v>32.045605524180033</v>
      </c>
      <c r="H865" t="str">
        <f t="shared" si="39"/>
        <v>2026-07</v>
      </c>
      <c r="I865">
        <v>3</v>
      </c>
    </row>
    <row r="866" spans="1:9" x14ac:dyDescent="0.25">
      <c r="A866" t="s">
        <v>871</v>
      </c>
      <c r="B866">
        <v>24124.55</v>
      </c>
      <c r="C866">
        <v>24130.75</v>
      </c>
      <c r="D866">
        <v>24110.5</v>
      </c>
      <c r="E866">
        <v>24120.6</v>
      </c>
      <c r="F866" s="2">
        <f t="shared" si="40"/>
        <v>20.25</v>
      </c>
      <c r="G866" s="3">
        <f t="shared" si="41"/>
        <v>31.203062272452886</v>
      </c>
      <c r="H866" t="str">
        <f t="shared" si="39"/>
        <v>2026-07</v>
      </c>
      <c r="I866">
        <v>3</v>
      </c>
    </row>
    <row r="867" spans="1:9" x14ac:dyDescent="0.25">
      <c r="A867" t="s">
        <v>872</v>
      </c>
      <c r="B867">
        <v>24120.95</v>
      </c>
      <c r="C867">
        <v>24122.2</v>
      </c>
      <c r="D867">
        <v>24102.7</v>
      </c>
      <c r="E867">
        <v>24105.8</v>
      </c>
      <c r="F867" s="2">
        <f t="shared" si="40"/>
        <v>19.5</v>
      </c>
      <c r="G867" s="3">
        <f t="shared" si="41"/>
        <v>30.367129252991965</v>
      </c>
      <c r="H867" t="str">
        <f t="shared" si="39"/>
        <v>2026-07</v>
      </c>
      <c r="I867">
        <v>3</v>
      </c>
    </row>
    <row r="868" spans="1:9" x14ac:dyDescent="0.25">
      <c r="A868" t="s">
        <v>873</v>
      </c>
      <c r="B868">
        <v>24107.4</v>
      </c>
      <c r="C868">
        <v>24107.4</v>
      </c>
      <c r="D868">
        <v>24053.05</v>
      </c>
      <c r="E868">
        <v>24053.5</v>
      </c>
      <c r="F868" s="2">
        <f t="shared" si="40"/>
        <v>54.350000000002183</v>
      </c>
      <c r="G868" s="3">
        <f t="shared" si="41"/>
        <v>32.080191449206986</v>
      </c>
      <c r="H868" t="str">
        <f t="shared" si="39"/>
        <v>2026-07</v>
      </c>
      <c r="I868">
        <v>3</v>
      </c>
    </row>
    <row r="869" spans="1:9" x14ac:dyDescent="0.25">
      <c r="A869" t="s">
        <v>874</v>
      </c>
      <c r="B869">
        <v>24055.5</v>
      </c>
      <c r="C869">
        <v>24097.15</v>
      </c>
      <c r="D869">
        <v>24051.65</v>
      </c>
      <c r="E869">
        <v>24096.2</v>
      </c>
      <c r="F869" s="2">
        <f t="shared" si="40"/>
        <v>45.5</v>
      </c>
      <c r="G869" s="3">
        <f t="shared" si="41"/>
        <v>33.038749202835056</v>
      </c>
      <c r="H869" t="str">
        <f t="shared" si="39"/>
        <v>2026-07</v>
      </c>
      <c r="I869">
        <v>3</v>
      </c>
    </row>
    <row r="870" spans="1:9" x14ac:dyDescent="0.25">
      <c r="A870" t="s">
        <v>875</v>
      </c>
      <c r="B870">
        <v>24096.400000000001</v>
      </c>
      <c r="C870">
        <v>24101.599999999999</v>
      </c>
      <c r="D870">
        <v>24085.35</v>
      </c>
      <c r="E870">
        <v>24091.55</v>
      </c>
      <c r="F870" s="2">
        <f t="shared" si="40"/>
        <v>16.25</v>
      </c>
      <c r="G870" s="3">
        <f t="shared" si="41"/>
        <v>31.839552831203981</v>
      </c>
      <c r="H870" t="str">
        <f t="shared" si="39"/>
        <v>2026-07</v>
      </c>
      <c r="I870">
        <v>3</v>
      </c>
    </row>
    <row r="871" spans="1:9" x14ac:dyDescent="0.25">
      <c r="A871" t="s">
        <v>876</v>
      </c>
      <c r="B871">
        <v>24094.15</v>
      </c>
      <c r="C871">
        <v>24111.9</v>
      </c>
      <c r="D871">
        <v>24079.7</v>
      </c>
      <c r="E871">
        <v>24085.85</v>
      </c>
      <c r="F871" s="2">
        <f t="shared" si="40"/>
        <v>32.200000000000728</v>
      </c>
      <c r="G871" s="3">
        <f t="shared" si="41"/>
        <v>31.865299057546604</v>
      </c>
      <c r="H871" t="str">
        <f t="shared" si="39"/>
        <v>2026-07</v>
      </c>
      <c r="I871">
        <v>3</v>
      </c>
    </row>
    <row r="872" spans="1:9" x14ac:dyDescent="0.25">
      <c r="A872" t="s">
        <v>877</v>
      </c>
      <c r="B872">
        <v>24089.05</v>
      </c>
      <c r="C872">
        <v>24101.95</v>
      </c>
      <c r="D872">
        <v>24083.25</v>
      </c>
      <c r="E872">
        <v>24096</v>
      </c>
      <c r="F872" s="2">
        <f t="shared" si="40"/>
        <v>18.700000000000728</v>
      </c>
      <c r="G872" s="3">
        <f t="shared" si="41"/>
        <v>30.924920553436184</v>
      </c>
      <c r="H872" t="str">
        <f t="shared" si="39"/>
        <v>2026-07</v>
      </c>
      <c r="I872">
        <v>3</v>
      </c>
    </row>
    <row r="873" spans="1:9" x14ac:dyDescent="0.25">
      <c r="A873" t="s">
        <v>878</v>
      </c>
      <c r="B873">
        <v>24099.55</v>
      </c>
      <c r="C873">
        <v>24124.1</v>
      </c>
      <c r="D873">
        <v>24091.7</v>
      </c>
      <c r="E873">
        <v>24111.65</v>
      </c>
      <c r="F873" s="2">
        <f t="shared" si="40"/>
        <v>32.399999999997817</v>
      </c>
      <c r="G873" s="3">
        <f t="shared" si="41"/>
        <v>31.030283371047727</v>
      </c>
      <c r="H873" t="str">
        <f t="shared" si="39"/>
        <v>2026-07</v>
      </c>
      <c r="I873">
        <v>3</v>
      </c>
    </row>
    <row r="874" spans="1:9" x14ac:dyDescent="0.25">
      <c r="A874" t="s">
        <v>879</v>
      </c>
      <c r="B874">
        <v>24114.45</v>
      </c>
      <c r="C874">
        <v>24126.55</v>
      </c>
      <c r="D874">
        <v>24065.95</v>
      </c>
      <c r="E874">
        <v>24071.1</v>
      </c>
      <c r="F874" s="2">
        <f t="shared" si="40"/>
        <v>60.599999999998545</v>
      </c>
      <c r="G874" s="3">
        <f t="shared" si="41"/>
        <v>33.142405987401354</v>
      </c>
      <c r="H874" t="str">
        <f t="shared" si="39"/>
        <v>2026-07</v>
      </c>
      <c r="I874">
        <v>3</v>
      </c>
    </row>
    <row r="875" spans="1:9" x14ac:dyDescent="0.25">
      <c r="A875" t="s">
        <v>880</v>
      </c>
      <c r="B875">
        <v>24071.15</v>
      </c>
      <c r="C875">
        <v>24090.15</v>
      </c>
      <c r="D875">
        <v>24050</v>
      </c>
      <c r="E875">
        <v>24081.1</v>
      </c>
      <c r="F875" s="2">
        <f t="shared" si="40"/>
        <v>40.150000000001455</v>
      </c>
      <c r="G875" s="3">
        <f t="shared" si="41"/>
        <v>33.642948416872791</v>
      </c>
      <c r="H875" t="str">
        <f t="shared" si="39"/>
        <v>2026-07</v>
      </c>
      <c r="I875">
        <v>3</v>
      </c>
    </row>
    <row r="876" spans="1:9" x14ac:dyDescent="0.25">
      <c r="A876" t="s">
        <v>881</v>
      </c>
      <c r="B876">
        <v>24129.25</v>
      </c>
      <c r="C876">
        <v>24211.7</v>
      </c>
      <c r="D876">
        <v>24099.05</v>
      </c>
      <c r="E876">
        <v>24211.3</v>
      </c>
      <c r="F876" s="2">
        <f t="shared" si="40"/>
        <v>130.60000000000218</v>
      </c>
      <c r="G876" s="3">
        <f t="shared" si="41"/>
        <v>40.568452101382036</v>
      </c>
      <c r="H876" t="str">
        <f t="shared" si="39"/>
        <v>2026-07</v>
      </c>
      <c r="I876">
        <v>3</v>
      </c>
    </row>
    <row r="877" spans="1:9" x14ac:dyDescent="0.25">
      <c r="A877" t="s">
        <v>882</v>
      </c>
      <c r="B877">
        <v>24210</v>
      </c>
      <c r="C877">
        <v>24231.85</v>
      </c>
      <c r="D877">
        <v>24193.200000000001</v>
      </c>
      <c r="E877">
        <v>24230.400000000001</v>
      </c>
      <c r="F877" s="2">
        <f t="shared" si="40"/>
        <v>38.649999999997817</v>
      </c>
      <c r="G877" s="3">
        <f t="shared" si="41"/>
        <v>40.431419808426021</v>
      </c>
      <c r="H877" t="str">
        <f t="shared" si="39"/>
        <v>2026-07</v>
      </c>
      <c r="I877">
        <v>3</v>
      </c>
    </row>
    <row r="878" spans="1:9" x14ac:dyDescent="0.25">
      <c r="A878" t="s">
        <v>883</v>
      </c>
      <c r="B878">
        <v>24231.3</v>
      </c>
      <c r="C878">
        <v>24246.95</v>
      </c>
      <c r="D878">
        <v>24217.35</v>
      </c>
      <c r="E878">
        <v>24228.5</v>
      </c>
      <c r="F878" s="2">
        <f t="shared" si="40"/>
        <v>29.600000000002183</v>
      </c>
      <c r="G878" s="3">
        <f t="shared" si="41"/>
        <v>39.657746964967181</v>
      </c>
      <c r="H878" t="str">
        <f t="shared" si="39"/>
        <v>2026-07</v>
      </c>
      <c r="I878">
        <v>3</v>
      </c>
    </row>
    <row r="879" spans="1:9" x14ac:dyDescent="0.25">
      <c r="A879" t="s">
        <v>884</v>
      </c>
      <c r="B879">
        <v>24228.85</v>
      </c>
      <c r="C879">
        <v>24249.200000000001</v>
      </c>
      <c r="D879">
        <v>24210.25</v>
      </c>
      <c r="E879">
        <v>24239.35</v>
      </c>
      <c r="F879" s="2">
        <f t="shared" si="40"/>
        <v>38.950000000000728</v>
      </c>
      <c r="G879" s="3">
        <f t="shared" si="41"/>
        <v>39.607193610326718</v>
      </c>
      <c r="H879" t="str">
        <f t="shared" si="39"/>
        <v>2026-07</v>
      </c>
      <c r="I879">
        <v>3</v>
      </c>
    </row>
    <row r="880" spans="1:9" x14ac:dyDescent="0.25">
      <c r="A880" t="s">
        <v>885</v>
      </c>
      <c r="B880">
        <v>24239.85</v>
      </c>
      <c r="C880">
        <v>24282.6</v>
      </c>
      <c r="D880">
        <v>24238.2</v>
      </c>
      <c r="E880">
        <v>24281.35</v>
      </c>
      <c r="F880" s="2">
        <f t="shared" si="40"/>
        <v>44.399999999997817</v>
      </c>
      <c r="G880" s="3">
        <f t="shared" si="41"/>
        <v>39.949536923874653</v>
      </c>
      <c r="H880" t="str">
        <f t="shared" si="39"/>
        <v>2026-07</v>
      </c>
      <c r="I880">
        <v>3</v>
      </c>
    </row>
    <row r="881" spans="1:9" x14ac:dyDescent="0.25">
      <c r="A881" t="s">
        <v>886</v>
      </c>
      <c r="B881">
        <v>24281.55</v>
      </c>
      <c r="C881">
        <v>24288.9</v>
      </c>
      <c r="D881">
        <v>24244.2</v>
      </c>
      <c r="E881">
        <v>24259.3</v>
      </c>
      <c r="F881" s="2">
        <f t="shared" si="40"/>
        <v>44.700000000000728</v>
      </c>
      <c r="G881" s="3">
        <f t="shared" si="41"/>
        <v>40.288855715026514</v>
      </c>
      <c r="H881" t="str">
        <f t="shared" si="39"/>
        <v>2026-07</v>
      </c>
      <c r="I881">
        <v>3</v>
      </c>
    </row>
    <row r="882" spans="1:9" x14ac:dyDescent="0.25">
      <c r="A882" t="s">
        <v>887</v>
      </c>
      <c r="B882">
        <v>24259.1</v>
      </c>
      <c r="C882">
        <v>24262.75</v>
      </c>
      <c r="D882">
        <v>24245.05</v>
      </c>
      <c r="E882">
        <v>24257.05</v>
      </c>
      <c r="F882" s="2">
        <f t="shared" si="40"/>
        <v>17.700000000000728</v>
      </c>
      <c r="G882" s="3">
        <f t="shared" si="41"/>
        <v>38.675366021096103</v>
      </c>
      <c r="H882" t="str">
        <f t="shared" si="39"/>
        <v>2026-07</v>
      </c>
      <c r="I882">
        <v>3</v>
      </c>
    </row>
    <row r="883" spans="1:9" x14ac:dyDescent="0.25">
      <c r="A883" t="s">
        <v>888</v>
      </c>
      <c r="B883">
        <v>24257</v>
      </c>
      <c r="C883">
        <v>24264.15</v>
      </c>
      <c r="D883">
        <v>24230.9</v>
      </c>
      <c r="E883">
        <v>24235.9</v>
      </c>
      <c r="F883" s="2">
        <f t="shared" si="40"/>
        <v>33.25</v>
      </c>
      <c r="G883" s="3">
        <f t="shared" si="41"/>
        <v>38.2878398767321</v>
      </c>
      <c r="H883" t="str">
        <f t="shared" si="39"/>
        <v>2026-07</v>
      </c>
      <c r="I883">
        <v>3</v>
      </c>
    </row>
    <row r="884" spans="1:9" x14ac:dyDescent="0.25">
      <c r="A884" t="s">
        <v>889</v>
      </c>
      <c r="B884">
        <v>24235.7</v>
      </c>
      <c r="C884">
        <v>24250.9</v>
      </c>
      <c r="D884">
        <v>24232.65</v>
      </c>
      <c r="E884">
        <v>24244.400000000001</v>
      </c>
      <c r="F884" s="2">
        <f t="shared" si="40"/>
        <v>18.25</v>
      </c>
      <c r="G884" s="3">
        <f t="shared" si="41"/>
        <v>36.856565599822666</v>
      </c>
      <c r="H884" t="str">
        <f t="shared" si="39"/>
        <v>2026-07</v>
      </c>
      <c r="I884">
        <v>3</v>
      </c>
    </row>
    <row r="885" spans="1:9" x14ac:dyDescent="0.25">
      <c r="A885" t="s">
        <v>890</v>
      </c>
      <c r="B885">
        <v>24243</v>
      </c>
      <c r="C885">
        <v>24269</v>
      </c>
      <c r="D885">
        <v>24241</v>
      </c>
      <c r="E885">
        <v>24267.25</v>
      </c>
      <c r="F885" s="2">
        <f t="shared" si="40"/>
        <v>28</v>
      </c>
      <c r="G885" s="3">
        <f t="shared" si="41"/>
        <v>36.223953771263908</v>
      </c>
      <c r="H885" t="str">
        <f t="shared" si="39"/>
        <v>2026-07</v>
      </c>
      <c r="I885">
        <v>3</v>
      </c>
    </row>
    <row r="886" spans="1:9" x14ac:dyDescent="0.25">
      <c r="A886" t="s">
        <v>891</v>
      </c>
      <c r="B886">
        <v>24267.200000000001</v>
      </c>
      <c r="C886">
        <v>24283.200000000001</v>
      </c>
      <c r="D886">
        <v>24264.9</v>
      </c>
      <c r="E886">
        <v>24277.15</v>
      </c>
      <c r="F886" s="2">
        <f t="shared" si="40"/>
        <v>18.299999999999272</v>
      </c>
      <c r="G886" s="3">
        <f t="shared" si="41"/>
        <v>34.943671359030716</v>
      </c>
      <c r="H886" t="str">
        <f t="shared" si="39"/>
        <v>2026-07</v>
      </c>
      <c r="I886">
        <v>3</v>
      </c>
    </row>
    <row r="887" spans="1:9" x14ac:dyDescent="0.25">
      <c r="A887" t="s">
        <v>892</v>
      </c>
      <c r="B887">
        <v>24277.85</v>
      </c>
      <c r="C887">
        <v>24279.95</v>
      </c>
      <c r="D887">
        <v>24260.7</v>
      </c>
      <c r="E887">
        <v>24276.75</v>
      </c>
      <c r="F887" s="2">
        <f t="shared" si="40"/>
        <v>19.25</v>
      </c>
      <c r="G887" s="3">
        <f t="shared" si="41"/>
        <v>33.822694833385661</v>
      </c>
      <c r="H887" t="str">
        <f t="shared" si="39"/>
        <v>2026-07</v>
      </c>
      <c r="I887">
        <v>3</v>
      </c>
    </row>
    <row r="888" spans="1:9" x14ac:dyDescent="0.25">
      <c r="A888" t="s">
        <v>893</v>
      </c>
      <c r="B888">
        <v>24276.55</v>
      </c>
      <c r="C888">
        <v>24286.35</v>
      </c>
      <c r="D888">
        <v>24267.35</v>
      </c>
      <c r="E888">
        <v>24277.55</v>
      </c>
      <c r="F888" s="2">
        <f t="shared" si="40"/>
        <v>19</v>
      </c>
      <c r="G888" s="3">
        <f t="shared" si="41"/>
        <v>32.76393091671526</v>
      </c>
      <c r="H888" t="str">
        <f t="shared" si="39"/>
        <v>2026-07</v>
      </c>
      <c r="I888">
        <v>3</v>
      </c>
    </row>
    <row r="889" spans="1:9" x14ac:dyDescent="0.25">
      <c r="A889" t="s">
        <v>894</v>
      </c>
      <c r="B889">
        <v>24277.65</v>
      </c>
      <c r="C889">
        <v>24284.6</v>
      </c>
      <c r="D889">
        <v>24259.75</v>
      </c>
      <c r="E889">
        <v>24277.05</v>
      </c>
      <c r="F889" s="2">
        <f t="shared" si="40"/>
        <v>24.849999999998545</v>
      </c>
      <c r="G889" s="3">
        <f t="shared" si="41"/>
        <v>32.19865013694978</v>
      </c>
      <c r="H889" t="str">
        <f t="shared" si="39"/>
        <v>2026-07</v>
      </c>
      <c r="I889">
        <v>3</v>
      </c>
    </row>
    <row r="890" spans="1:9" x14ac:dyDescent="0.25">
      <c r="A890" t="s">
        <v>895</v>
      </c>
      <c r="B890">
        <v>24277.5</v>
      </c>
      <c r="C890">
        <v>24297.5</v>
      </c>
      <c r="D890">
        <v>24270.7</v>
      </c>
      <c r="E890">
        <v>24283.35</v>
      </c>
      <c r="F890" s="2">
        <f t="shared" si="40"/>
        <v>26.799999999999272</v>
      </c>
      <c r="G890" s="3">
        <f t="shared" si="41"/>
        <v>31.813032270024742</v>
      </c>
      <c r="H890" t="str">
        <f t="shared" si="39"/>
        <v>2026-07</v>
      </c>
      <c r="I890">
        <v>3</v>
      </c>
    </row>
    <row r="891" spans="1:9" x14ac:dyDescent="0.25">
      <c r="A891" t="s">
        <v>896</v>
      </c>
      <c r="B891">
        <v>24283.3</v>
      </c>
      <c r="C891">
        <v>24287.45</v>
      </c>
      <c r="D891">
        <v>24275.95</v>
      </c>
      <c r="E891">
        <v>24282.75</v>
      </c>
      <c r="F891" s="2">
        <f t="shared" si="40"/>
        <v>11.5</v>
      </c>
      <c r="G891" s="3">
        <f t="shared" si="41"/>
        <v>30.362101393594404</v>
      </c>
      <c r="H891" t="str">
        <f t="shared" si="39"/>
        <v>2026-07</v>
      </c>
      <c r="I891">
        <v>3</v>
      </c>
    </row>
    <row r="892" spans="1:9" x14ac:dyDescent="0.25">
      <c r="A892" t="s">
        <v>897</v>
      </c>
      <c r="B892">
        <v>24282.55</v>
      </c>
      <c r="C892">
        <v>24283.599999999999</v>
      </c>
      <c r="D892">
        <v>24257.4</v>
      </c>
      <c r="E892">
        <v>24268.05</v>
      </c>
      <c r="F892" s="2">
        <f t="shared" si="40"/>
        <v>26.19999999999709</v>
      </c>
      <c r="G892" s="3">
        <f t="shared" si="41"/>
        <v>30.064808436908883</v>
      </c>
      <c r="H892" t="str">
        <f t="shared" si="39"/>
        <v>2026-07</v>
      </c>
      <c r="I892">
        <v>3</v>
      </c>
    </row>
    <row r="893" spans="1:9" x14ac:dyDescent="0.25">
      <c r="A893" t="s">
        <v>898</v>
      </c>
      <c r="B893">
        <v>24267.3</v>
      </c>
      <c r="C893">
        <v>24276.45</v>
      </c>
      <c r="D893">
        <v>24245.9</v>
      </c>
      <c r="E893">
        <v>24254.3</v>
      </c>
      <c r="F893" s="2">
        <f t="shared" si="40"/>
        <v>30.549999999999272</v>
      </c>
      <c r="G893" s="3">
        <f t="shared" si="41"/>
        <v>30.099464977129625</v>
      </c>
      <c r="H893" t="str">
        <f t="shared" si="39"/>
        <v>2026-07</v>
      </c>
      <c r="I893">
        <v>3</v>
      </c>
    </row>
    <row r="894" spans="1:9" x14ac:dyDescent="0.25">
      <c r="A894" t="s">
        <v>899</v>
      </c>
      <c r="B894">
        <v>24254.25</v>
      </c>
      <c r="C894">
        <v>24255.25</v>
      </c>
      <c r="D894">
        <v>24213.45</v>
      </c>
      <c r="E894">
        <v>24249.95</v>
      </c>
      <c r="F894" s="2">
        <f t="shared" si="40"/>
        <v>41.799999999999272</v>
      </c>
      <c r="G894" s="3">
        <f t="shared" si="41"/>
        <v>30.935217478763171</v>
      </c>
      <c r="H894" t="str">
        <f t="shared" si="39"/>
        <v>2026-07</v>
      </c>
      <c r="I894">
        <v>3</v>
      </c>
    </row>
    <row r="895" spans="1:9" x14ac:dyDescent="0.25">
      <c r="A895" t="s">
        <v>900</v>
      </c>
      <c r="B895">
        <v>24250.1</v>
      </c>
      <c r="C895">
        <v>24284.45</v>
      </c>
      <c r="D895">
        <v>24241.8</v>
      </c>
      <c r="E895">
        <v>24281.599999999999</v>
      </c>
      <c r="F895" s="2">
        <f t="shared" si="40"/>
        <v>42.650000000001455</v>
      </c>
      <c r="G895" s="3">
        <f t="shared" si="41"/>
        <v>31.771987658851621</v>
      </c>
      <c r="H895" t="str">
        <f t="shared" si="39"/>
        <v>2026-07</v>
      </c>
      <c r="I895">
        <v>3</v>
      </c>
    </row>
    <row r="896" spans="1:9" x14ac:dyDescent="0.25">
      <c r="A896" t="s">
        <v>901</v>
      </c>
      <c r="B896">
        <v>24280.55</v>
      </c>
      <c r="C896">
        <v>24367.3</v>
      </c>
      <c r="D896">
        <v>24280.55</v>
      </c>
      <c r="E896">
        <v>24288.65</v>
      </c>
      <c r="F896" s="2">
        <f t="shared" si="40"/>
        <v>86.75</v>
      </c>
      <c r="G896" s="3">
        <f t="shared" si="41"/>
        <v>35.698988540362215</v>
      </c>
      <c r="H896" t="str">
        <f t="shared" si="39"/>
        <v>2026-07</v>
      </c>
      <c r="I896">
        <v>3</v>
      </c>
    </row>
    <row r="897" spans="1:9" x14ac:dyDescent="0.25">
      <c r="A897" t="s">
        <v>902</v>
      </c>
      <c r="B897">
        <v>24287.4</v>
      </c>
      <c r="C897">
        <v>24321.05</v>
      </c>
      <c r="D897">
        <v>24286.85</v>
      </c>
      <c r="E897">
        <v>24318.25</v>
      </c>
      <c r="F897" s="2">
        <f t="shared" si="40"/>
        <v>34.200000000000728</v>
      </c>
      <c r="G897" s="3">
        <f t="shared" si="41"/>
        <v>35.591917930336393</v>
      </c>
      <c r="H897" t="str">
        <f t="shared" si="39"/>
        <v>2026-07</v>
      </c>
      <c r="I897">
        <v>3</v>
      </c>
    </row>
    <row r="898" spans="1:9" x14ac:dyDescent="0.25">
      <c r="A898" t="s">
        <v>903</v>
      </c>
      <c r="B898">
        <v>24317.65</v>
      </c>
      <c r="C898">
        <v>24334.799999999999</v>
      </c>
      <c r="D898">
        <v>24311.7</v>
      </c>
      <c r="E898">
        <v>24312.1</v>
      </c>
      <c r="F898" s="2">
        <f t="shared" si="40"/>
        <v>23.099999999998545</v>
      </c>
      <c r="G898" s="3">
        <f t="shared" si="41"/>
        <v>34.699638078169407</v>
      </c>
      <c r="H898" t="str">
        <f t="shared" ref="H898:H961" si="42">LEFT(A898,7)</f>
        <v>2026-07</v>
      </c>
      <c r="I898">
        <v>3</v>
      </c>
    </row>
    <row r="899" spans="1:9" x14ac:dyDescent="0.25">
      <c r="A899" t="s">
        <v>904</v>
      </c>
      <c r="B899">
        <v>24311.75</v>
      </c>
      <c r="C899">
        <v>24338.25</v>
      </c>
      <c r="D899">
        <v>24311.200000000001</v>
      </c>
      <c r="E899">
        <v>24329.35</v>
      </c>
      <c r="F899" s="2">
        <f t="shared" ref="F899:F962" si="43">MAX(C899-D899,ABS(C899-E898),ABS(D899-E898))</f>
        <v>27.049999999999272</v>
      </c>
      <c r="G899" s="3">
        <f t="shared" si="41"/>
        <v>34.153235358300108</v>
      </c>
      <c r="H899" t="str">
        <f t="shared" si="42"/>
        <v>2026-07</v>
      </c>
      <c r="I899">
        <v>3</v>
      </c>
    </row>
    <row r="900" spans="1:9" x14ac:dyDescent="0.25">
      <c r="A900" t="s">
        <v>905</v>
      </c>
      <c r="B900">
        <v>24328.75</v>
      </c>
      <c r="C900">
        <v>24352.65</v>
      </c>
      <c r="D900">
        <v>24320.3</v>
      </c>
      <c r="E900">
        <v>24343.65</v>
      </c>
      <c r="F900" s="2">
        <f t="shared" si="43"/>
        <v>32.350000000002183</v>
      </c>
      <c r="G900" s="3">
        <f t="shared" si="41"/>
        <v>34.024432832707397</v>
      </c>
      <c r="H900" t="str">
        <f t="shared" si="42"/>
        <v>2026-07</v>
      </c>
      <c r="I900">
        <v>3</v>
      </c>
    </row>
    <row r="901" spans="1:9" x14ac:dyDescent="0.25">
      <c r="A901" t="s">
        <v>906</v>
      </c>
      <c r="B901">
        <v>24194.799999999999</v>
      </c>
      <c r="C901">
        <v>24262.35</v>
      </c>
      <c r="D901">
        <v>24149.9</v>
      </c>
      <c r="E901">
        <v>24191.7</v>
      </c>
      <c r="F901" s="2">
        <f t="shared" si="43"/>
        <v>193.75</v>
      </c>
      <c r="G901" s="3">
        <f t="shared" si="41"/>
        <v>45.433401916085437</v>
      </c>
      <c r="H901" t="str">
        <f t="shared" si="42"/>
        <v>2026-07</v>
      </c>
      <c r="I901">
        <v>3</v>
      </c>
    </row>
    <row r="902" spans="1:9" x14ac:dyDescent="0.25">
      <c r="A902" t="s">
        <v>907</v>
      </c>
      <c r="B902">
        <v>24191.9</v>
      </c>
      <c r="C902">
        <v>24193.05</v>
      </c>
      <c r="D902">
        <v>24159.599999999999</v>
      </c>
      <c r="E902">
        <v>24171.45</v>
      </c>
      <c r="F902" s="2">
        <f t="shared" si="43"/>
        <v>33.450000000000728</v>
      </c>
      <c r="G902" s="3">
        <f t="shared" si="41"/>
        <v>44.577444636365101</v>
      </c>
      <c r="H902" t="str">
        <f t="shared" si="42"/>
        <v>2026-07</v>
      </c>
      <c r="I902">
        <v>3</v>
      </c>
    </row>
    <row r="903" spans="1:9" x14ac:dyDescent="0.25">
      <c r="A903" t="s">
        <v>908</v>
      </c>
      <c r="B903">
        <v>24170.6</v>
      </c>
      <c r="C903">
        <v>24198.5</v>
      </c>
      <c r="D903">
        <v>24157.5</v>
      </c>
      <c r="E903">
        <v>24190.25</v>
      </c>
      <c r="F903" s="2">
        <f t="shared" si="43"/>
        <v>41</v>
      </c>
      <c r="G903" s="3">
        <f t="shared" si="41"/>
        <v>44.321912876624729</v>
      </c>
      <c r="H903" t="str">
        <f t="shared" si="42"/>
        <v>2026-07</v>
      </c>
      <c r="I903">
        <v>3</v>
      </c>
    </row>
    <row r="904" spans="1:9" x14ac:dyDescent="0.25">
      <c r="A904" t="s">
        <v>909</v>
      </c>
      <c r="B904">
        <v>24191.25</v>
      </c>
      <c r="C904">
        <v>24219.4</v>
      </c>
      <c r="D904">
        <v>24179.8</v>
      </c>
      <c r="E904">
        <v>24209.95</v>
      </c>
      <c r="F904" s="2">
        <f t="shared" si="43"/>
        <v>39.600000000002183</v>
      </c>
      <c r="G904" s="3">
        <f t="shared" si="41"/>
        <v>43.984633385437405</v>
      </c>
      <c r="H904" t="str">
        <f t="shared" si="42"/>
        <v>2026-07</v>
      </c>
      <c r="I904">
        <v>3</v>
      </c>
    </row>
    <row r="905" spans="1:9" x14ac:dyDescent="0.25">
      <c r="A905" t="s">
        <v>910</v>
      </c>
      <c r="B905">
        <v>24210.400000000001</v>
      </c>
      <c r="C905">
        <v>24232.35</v>
      </c>
      <c r="D905">
        <v>24207.35</v>
      </c>
      <c r="E905">
        <v>24230.25</v>
      </c>
      <c r="F905" s="2">
        <f t="shared" si="43"/>
        <v>25</v>
      </c>
      <c r="G905" s="3">
        <f t="shared" si="41"/>
        <v>42.628588143620448</v>
      </c>
      <c r="H905" t="str">
        <f t="shared" si="42"/>
        <v>2026-07</v>
      </c>
      <c r="I905">
        <v>3</v>
      </c>
    </row>
    <row r="906" spans="1:9" x14ac:dyDescent="0.25">
      <c r="A906" t="s">
        <v>911</v>
      </c>
      <c r="B906">
        <v>24229.9</v>
      </c>
      <c r="C906">
        <v>24239.200000000001</v>
      </c>
      <c r="D906">
        <v>24213.55</v>
      </c>
      <c r="E906">
        <v>24218.45</v>
      </c>
      <c r="F906" s="2">
        <f t="shared" si="43"/>
        <v>25.650000000001455</v>
      </c>
      <c r="G906" s="3">
        <f t="shared" si="41"/>
        <v>41.415831847647659</v>
      </c>
      <c r="H906" t="str">
        <f t="shared" si="42"/>
        <v>2026-07</v>
      </c>
      <c r="I906">
        <v>3</v>
      </c>
    </row>
    <row r="907" spans="1:9" x14ac:dyDescent="0.25">
      <c r="A907" t="s">
        <v>912</v>
      </c>
      <c r="B907">
        <v>24218.400000000001</v>
      </c>
      <c r="C907">
        <v>24232.400000000001</v>
      </c>
      <c r="D907">
        <v>24216.55</v>
      </c>
      <c r="E907">
        <v>24228.65</v>
      </c>
      <c r="F907" s="2">
        <f t="shared" si="43"/>
        <v>15.850000000002183</v>
      </c>
      <c r="G907" s="3">
        <f t="shared" si="41"/>
        <v>39.589701001387269</v>
      </c>
      <c r="H907" t="str">
        <f t="shared" si="42"/>
        <v>2026-07</v>
      </c>
      <c r="I907">
        <v>3</v>
      </c>
    </row>
    <row r="908" spans="1:9" x14ac:dyDescent="0.25">
      <c r="A908" t="s">
        <v>913</v>
      </c>
      <c r="B908">
        <v>24228.6</v>
      </c>
      <c r="C908">
        <v>24234.9</v>
      </c>
      <c r="D908">
        <v>24211.05</v>
      </c>
      <c r="E908">
        <v>24214.6</v>
      </c>
      <c r="F908" s="2">
        <f t="shared" si="43"/>
        <v>23.850000000002183</v>
      </c>
      <c r="G908" s="3">
        <f t="shared" si="41"/>
        <v>38.465436644145477</v>
      </c>
      <c r="H908" t="str">
        <f t="shared" si="42"/>
        <v>2026-07</v>
      </c>
      <c r="I908">
        <v>3</v>
      </c>
    </row>
    <row r="909" spans="1:9" x14ac:dyDescent="0.25">
      <c r="A909" t="s">
        <v>914</v>
      </c>
      <c r="B909">
        <v>24215.45</v>
      </c>
      <c r="C909">
        <v>24224.799999999999</v>
      </c>
      <c r="D909">
        <v>24203.05</v>
      </c>
      <c r="E909">
        <v>24209.9</v>
      </c>
      <c r="F909" s="2">
        <f t="shared" si="43"/>
        <v>21.75</v>
      </c>
      <c r="G909" s="3">
        <f t="shared" si="41"/>
        <v>37.271476883849367</v>
      </c>
      <c r="H909" t="str">
        <f t="shared" si="42"/>
        <v>2026-07</v>
      </c>
      <c r="I909">
        <v>3</v>
      </c>
    </row>
    <row r="910" spans="1:9" x14ac:dyDescent="0.25">
      <c r="A910" t="s">
        <v>915</v>
      </c>
      <c r="B910">
        <v>24210.05</v>
      </c>
      <c r="C910">
        <v>24215.45</v>
      </c>
      <c r="D910">
        <v>24194.95</v>
      </c>
      <c r="E910">
        <v>24196.25</v>
      </c>
      <c r="F910" s="2">
        <f t="shared" si="43"/>
        <v>20.5</v>
      </c>
      <c r="G910" s="3">
        <f t="shared" si="41"/>
        <v>36.073514249288699</v>
      </c>
      <c r="H910" t="str">
        <f t="shared" si="42"/>
        <v>2026-07</v>
      </c>
      <c r="I910">
        <v>3</v>
      </c>
    </row>
    <row r="911" spans="1:9" x14ac:dyDescent="0.25">
      <c r="A911" t="s">
        <v>916</v>
      </c>
      <c r="B911">
        <v>24196.45</v>
      </c>
      <c r="C911">
        <v>24197.15</v>
      </c>
      <c r="D911">
        <v>24177</v>
      </c>
      <c r="E911">
        <v>24189.5</v>
      </c>
      <c r="F911" s="2">
        <f t="shared" si="43"/>
        <v>20.150000000001455</v>
      </c>
      <c r="G911" s="3">
        <f t="shared" si="41"/>
        <v>34.936120374339609</v>
      </c>
      <c r="H911" t="str">
        <f t="shared" si="42"/>
        <v>2026-07</v>
      </c>
      <c r="I911">
        <v>3</v>
      </c>
    </row>
    <row r="912" spans="1:9" x14ac:dyDescent="0.25">
      <c r="A912" t="s">
        <v>917</v>
      </c>
      <c r="B912">
        <v>24189.599999999999</v>
      </c>
      <c r="C912">
        <v>24192.45</v>
      </c>
      <c r="D912">
        <v>24174.25</v>
      </c>
      <c r="E912">
        <v>24187.7</v>
      </c>
      <c r="F912" s="2">
        <f t="shared" si="43"/>
        <v>18.200000000000728</v>
      </c>
      <c r="G912" s="3">
        <f t="shared" ref="G912:G975" si="44">(G911*13+F912)/14</f>
        <v>33.740683204743974</v>
      </c>
      <c r="H912" t="str">
        <f t="shared" si="42"/>
        <v>2026-07</v>
      </c>
      <c r="I912">
        <v>3</v>
      </c>
    </row>
    <row r="913" spans="1:9" x14ac:dyDescent="0.25">
      <c r="A913" t="s">
        <v>918</v>
      </c>
      <c r="B913">
        <v>24187.25</v>
      </c>
      <c r="C913">
        <v>24199.9</v>
      </c>
      <c r="D913">
        <v>24168.2</v>
      </c>
      <c r="E913">
        <v>24171.7</v>
      </c>
      <c r="F913" s="2">
        <f t="shared" si="43"/>
        <v>31.700000000000728</v>
      </c>
      <c r="G913" s="3">
        <f t="shared" si="44"/>
        <v>33.594920118690887</v>
      </c>
      <c r="H913" t="str">
        <f t="shared" si="42"/>
        <v>2026-07</v>
      </c>
      <c r="I913">
        <v>3</v>
      </c>
    </row>
    <row r="914" spans="1:9" x14ac:dyDescent="0.25">
      <c r="A914" t="s">
        <v>919</v>
      </c>
      <c r="B914">
        <v>24172</v>
      </c>
      <c r="C914">
        <v>24182.3</v>
      </c>
      <c r="D914">
        <v>24156.05</v>
      </c>
      <c r="E914">
        <v>24157.200000000001</v>
      </c>
      <c r="F914" s="2">
        <f t="shared" si="43"/>
        <v>26.25</v>
      </c>
      <c r="G914" s="3">
        <f t="shared" si="44"/>
        <v>33.070282967355823</v>
      </c>
      <c r="H914" t="str">
        <f t="shared" si="42"/>
        <v>2026-07</v>
      </c>
      <c r="I914">
        <v>3</v>
      </c>
    </row>
    <row r="915" spans="1:9" x14ac:dyDescent="0.25">
      <c r="A915" t="s">
        <v>920</v>
      </c>
      <c r="B915">
        <v>24157.4</v>
      </c>
      <c r="C915">
        <v>24190.3</v>
      </c>
      <c r="D915">
        <v>24135.85</v>
      </c>
      <c r="E915">
        <v>24186.799999999999</v>
      </c>
      <c r="F915" s="2">
        <f t="shared" si="43"/>
        <v>54.450000000000728</v>
      </c>
      <c r="G915" s="3">
        <f t="shared" si="44"/>
        <v>34.59740561254474</v>
      </c>
      <c r="H915" t="str">
        <f t="shared" si="42"/>
        <v>2026-07</v>
      </c>
      <c r="I915">
        <v>3</v>
      </c>
    </row>
    <row r="916" spans="1:9" x14ac:dyDescent="0.25">
      <c r="A916" t="s">
        <v>921</v>
      </c>
      <c r="B916">
        <v>24186.7</v>
      </c>
      <c r="C916">
        <v>24226</v>
      </c>
      <c r="D916">
        <v>24175.8</v>
      </c>
      <c r="E916">
        <v>24225</v>
      </c>
      <c r="F916" s="2">
        <f t="shared" si="43"/>
        <v>50.200000000000728</v>
      </c>
      <c r="G916" s="3">
        <f t="shared" si="44"/>
        <v>35.711876640220169</v>
      </c>
      <c r="H916" t="str">
        <f t="shared" si="42"/>
        <v>2026-07</v>
      </c>
      <c r="I916">
        <v>3</v>
      </c>
    </row>
    <row r="917" spans="1:9" x14ac:dyDescent="0.25">
      <c r="A917" t="s">
        <v>922</v>
      </c>
      <c r="B917">
        <v>24224.75</v>
      </c>
      <c r="C917">
        <v>24246.35</v>
      </c>
      <c r="D917">
        <v>24212.400000000001</v>
      </c>
      <c r="E917">
        <v>24243.3</v>
      </c>
      <c r="F917" s="2">
        <f t="shared" si="43"/>
        <v>33.94999999999709</v>
      </c>
      <c r="G917" s="3">
        <f t="shared" si="44"/>
        <v>35.58602830877566</v>
      </c>
      <c r="H917" t="str">
        <f t="shared" si="42"/>
        <v>2026-07</v>
      </c>
      <c r="I917">
        <v>3</v>
      </c>
    </row>
    <row r="918" spans="1:9" x14ac:dyDescent="0.25">
      <c r="A918" t="s">
        <v>923</v>
      </c>
      <c r="B918">
        <v>24243.200000000001</v>
      </c>
      <c r="C918">
        <v>24250.05</v>
      </c>
      <c r="D918">
        <v>24227.5</v>
      </c>
      <c r="E918">
        <v>24228.799999999999</v>
      </c>
      <c r="F918" s="2">
        <f t="shared" si="43"/>
        <v>22.549999999999272</v>
      </c>
      <c r="G918" s="3">
        <f t="shared" si="44"/>
        <v>34.654883429577346</v>
      </c>
      <c r="H918" t="str">
        <f t="shared" si="42"/>
        <v>2026-07</v>
      </c>
      <c r="I918">
        <v>3</v>
      </c>
    </row>
    <row r="919" spans="1:9" x14ac:dyDescent="0.25">
      <c r="A919" t="s">
        <v>924</v>
      </c>
      <c r="B919">
        <v>24228.25</v>
      </c>
      <c r="C919">
        <v>24257.9</v>
      </c>
      <c r="D919">
        <v>24227.15</v>
      </c>
      <c r="E919">
        <v>24254.65</v>
      </c>
      <c r="F919" s="2">
        <f t="shared" si="43"/>
        <v>30.75</v>
      </c>
      <c r="G919" s="3">
        <f t="shared" si="44"/>
        <v>34.375963184607535</v>
      </c>
      <c r="H919" t="str">
        <f t="shared" si="42"/>
        <v>2026-07</v>
      </c>
      <c r="I919">
        <v>3</v>
      </c>
    </row>
    <row r="920" spans="1:9" x14ac:dyDescent="0.25">
      <c r="A920" t="s">
        <v>925</v>
      </c>
      <c r="B920">
        <v>24254.5</v>
      </c>
      <c r="C920">
        <v>24266.1</v>
      </c>
      <c r="D920">
        <v>24248.25</v>
      </c>
      <c r="E920">
        <v>24250.9</v>
      </c>
      <c r="F920" s="2">
        <f t="shared" si="43"/>
        <v>17.849999999998545</v>
      </c>
      <c r="G920" s="3">
        <f t="shared" si="44"/>
        <v>33.195537242849745</v>
      </c>
      <c r="H920" t="str">
        <f t="shared" si="42"/>
        <v>2026-07</v>
      </c>
      <c r="I920">
        <v>3</v>
      </c>
    </row>
    <row r="921" spans="1:9" x14ac:dyDescent="0.25">
      <c r="A921" t="s">
        <v>926</v>
      </c>
      <c r="B921">
        <v>24250.55</v>
      </c>
      <c r="C921">
        <v>24259.1</v>
      </c>
      <c r="D921">
        <v>24241.05</v>
      </c>
      <c r="E921">
        <v>24254.75</v>
      </c>
      <c r="F921" s="2">
        <f t="shared" si="43"/>
        <v>18.049999999999272</v>
      </c>
      <c r="G921" s="3">
        <f t="shared" si="44"/>
        <v>32.113713154074709</v>
      </c>
      <c r="H921" t="str">
        <f t="shared" si="42"/>
        <v>2026-07</v>
      </c>
      <c r="I921">
        <v>3</v>
      </c>
    </row>
    <row r="922" spans="1:9" x14ac:dyDescent="0.25">
      <c r="A922" t="s">
        <v>927</v>
      </c>
      <c r="B922">
        <v>24254.799999999999</v>
      </c>
      <c r="C922">
        <v>24256.55</v>
      </c>
      <c r="D922">
        <v>24224.75</v>
      </c>
      <c r="E922">
        <v>24237.1</v>
      </c>
      <c r="F922" s="2">
        <f t="shared" si="43"/>
        <v>31.799999999999272</v>
      </c>
      <c r="G922" s="3">
        <f t="shared" si="44"/>
        <v>32.091305071640747</v>
      </c>
      <c r="H922" t="str">
        <f t="shared" si="42"/>
        <v>2026-07</v>
      </c>
      <c r="I922">
        <v>3</v>
      </c>
    </row>
    <row r="923" spans="1:9" x14ac:dyDescent="0.25">
      <c r="A923" t="s">
        <v>928</v>
      </c>
      <c r="B923">
        <v>24237.05</v>
      </c>
      <c r="C923">
        <v>24251</v>
      </c>
      <c r="D923">
        <v>24230.1</v>
      </c>
      <c r="E923">
        <v>24230.7</v>
      </c>
      <c r="F923" s="2">
        <f t="shared" si="43"/>
        <v>20.900000000001455</v>
      </c>
      <c r="G923" s="3">
        <f t="shared" si="44"/>
        <v>31.291926137952228</v>
      </c>
      <c r="H923" t="str">
        <f t="shared" si="42"/>
        <v>2026-07</v>
      </c>
      <c r="I923">
        <v>3</v>
      </c>
    </row>
    <row r="924" spans="1:9" x14ac:dyDescent="0.25">
      <c r="A924" t="s">
        <v>929</v>
      </c>
      <c r="B924">
        <v>24233.599999999999</v>
      </c>
      <c r="C924">
        <v>24246.5</v>
      </c>
      <c r="D924">
        <v>24228.400000000001</v>
      </c>
      <c r="E924">
        <v>24238.15</v>
      </c>
      <c r="F924" s="2">
        <f t="shared" si="43"/>
        <v>18.099999999998545</v>
      </c>
      <c r="G924" s="3">
        <f t="shared" si="44"/>
        <v>30.349645699526967</v>
      </c>
      <c r="H924" t="str">
        <f t="shared" si="42"/>
        <v>2026-07</v>
      </c>
      <c r="I924">
        <v>3</v>
      </c>
    </row>
    <row r="925" spans="1:9" x14ac:dyDescent="0.25">
      <c r="A925" t="s">
        <v>930</v>
      </c>
      <c r="B925">
        <v>24240.15</v>
      </c>
      <c r="C925">
        <v>24248.45</v>
      </c>
      <c r="D925">
        <v>24233.35</v>
      </c>
      <c r="E925">
        <v>24239.5</v>
      </c>
      <c r="F925" s="2">
        <f t="shared" si="43"/>
        <v>15.100000000002183</v>
      </c>
      <c r="G925" s="3">
        <f t="shared" si="44"/>
        <v>29.260385292418054</v>
      </c>
      <c r="H925" t="str">
        <f t="shared" si="42"/>
        <v>2026-07</v>
      </c>
      <c r="I925">
        <v>3</v>
      </c>
    </row>
    <row r="926" spans="1:9" x14ac:dyDescent="0.25">
      <c r="A926" t="s">
        <v>931</v>
      </c>
      <c r="B926">
        <v>24218.1</v>
      </c>
      <c r="C926">
        <v>24262.2</v>
      </c>
      <c r="D926">
        <v>24203.599999999999</v>
      </c>
      <c r="E926">
        <v>24247.4</v>
      </c>
      <c r="F926" s="2">
        <f t="shared" si="43"/>
        <v>58.600000000002183</v>
      </c>
      <c r="G926" s="3">
        <f t="shared" si="44"/>
        <v>31.356072057245491</v>
      </c>
      <c r="H926" t="str">
        <f t="shared" si="42"/>
        <v>2026-07</v>
      </c>
      <c r="I926">
        <v>3</v>
      </c>
    </row>
    <row r="927" spans="1:9" x14ac:dyDescent="0.25">
      <c r="A927" t="s">
        <v>932</v>
      </c>
      <c r="B927">
        <v>24247.75</v>
      </c>
      <c r="C927">
        <v>24255.8</v>
      </c>
      <c r="D927">
        <v>24217.35</v>
      </c>
      <c r="E927">
        <v>24236.25</v>
      </c>
      <c r="F927" s="2">
        <f t="shared" si="43"/>
        <v>38.450000000000728</v>
      </c>
      <c r="G927" s="3">
        <f t="shared" si="44"/>
        <v>31.862781196013721</v>
      </c>
      <c r="H927" t="str">
        <f t="shared" si="42"/>
        <v>2026-07</v>
      </c>
      <c r="I927">
        <v>3</v>
      </c>
    </row>
    <row r="928" spans="1:9" x14ac:dyDescent="0.25">
      <c r="A928" t="s">
        <v>933</v>
      </c>
      <c r="B928">
        <v>24236.95</v>
      </c>
      <c r="C928">
        <v>24240.9</v>
      </c>
      <c r="D928">
        <v>24216.9</v>
      </c>
      <c r="E928">
        <v>24229.95</v>
      </c>
      <c r="F928" s="2">
        <f t="shared" si="43"/>
        <v>24</v>
      </c>
      <c r="G928" s="3">
        <f t="shared" si="44"/>
        <v>31.301153967727029</v>
      </c>
      <c r="H928" t="str">
        <f t="shared" si="42"/>
        <v>2026-07</v>
      </c>
      <c r="I928">
        <v>3</v>
      </c>
    </row>
    <row r="929" spans="1:9" x14ac:dyDescent="0.25">
      <c r="A929" t="s">
        <v>934</v>
      </c>
      <c r="B929">
        <v>24229.4</v>
      </c>
      <c r="C929">
        <v>24233.599999999999</v>
      </c>
      <c r="D929">
        <v>24211.75</v>
      </c>
      <c r="E929">
        <v>24212.9</v>
      </c>
      <c r="F929" s="2">
        <f t="shared" si="43"/>
        <v>21.849999999998545</v>
      </c>
      <c r="G929" s="3">
        <f t="shared" si="44"/>
        <v>30.626071541460707</v>
      </c>
      <c r="H929" t="str">
        <f t="shared" si="42"/>
        <v>2026-07</v>
      </c>
      <c r="I929">
        <v>3</v>
      </c>
    </row>
    <row r="930" spans="1:9" x14ac:dyDescent="0.25">
      <c r="A930" t="s">
        <v>935</v>
      </c>
      <c r="B930">
        <v>24212.3</v>
      </c>
      <c r="C930">
        <v>24214.7</v>
      </c>
      <c r="D930">
        <v>24186.2</v>
      </c>
      <c r="E930">
        <v>24199.5</v>
      </c>
      <c r="F930" s="2">
        <f t="shared" si="43"/>
        <v>28.5</v>
      </c>
      <c r="G930" s="3">
        <f t="shared" si="44"/>
        <v>30.474209288499228</v>
      </c>
      <c r="H930" t="str">
        <f t="shared" si="42"/>
        <v>2026-07</v>
      </c>
      <c r="I930">
        <v>3</v>
      </c>
    </row>
    <row r="931" spans="1:9" x14ac:dyDescent="0.25">
      <c r="A931" t="s">
        <v>936</v>
      </c>
      <c r="B931">
        <v>24199.599999999999</v>
      </c>
      <c r="C931">
        <v>24202.400000000001</v>
      </c>
      <c r="D931">
        <v>24174.15</v>
      </c>
      <c r="E931">
        <v>24188.95</v>
      </c>
      <c r="F931" s="2">
        <f t="shared" si="43"/>
        <v>28.25</v>
      </c>
      <c r="G931" s="3">
        <f t="shared" si="44"/>
        <v>30.315337196463567</v>
      </c>
      <c r="H931" t="str">
        <f t="shared" si="42"/>
        <v>2026-07</v>
      </c>
      <c r="I931">
        <v>3</v>
      </c>
    </row>
    <row r="932" spans="1:9" x14ac:dyDescent="0.25">
      <c r="A932" t="s">
        <v>937</v>
      </c>
      <c r="B932">
        <v>24187.8</v>
      </c>
      <c r="C932">
        <v>24189.05</v>
      </c>
      <c r="D932">
        <v>24163.75</v>
      </c>
      <c r="E932">
        <v>24185.1</v>
      </c>
      <c r="F932" s="2">
        <f t="shared" si="43"/>
        <v>25.299999999999272</v>
      </c>
      <c r="G932" s="3">
        <f t="shared" si="44"/>
        <v>29.957098825287545</v>
      </c>
      <c r="H932" t="str">
        <f t="shared" si="42"/>
        <v>2026-07</v>
      </c>
      <c r="I932">
        <v>3</v>
      </c>
    </row>
    <row r="933" spans="1:9" x14ac:dyDescent="0.25">
      <c r="A933" t="s">
        <v>938</v>
      </c>
      <c r="B933">
        <v>24185.15</v>
      </c>
      <c r="C933">
        <v>24196.6</v>
      </c>
      <c r="D933">
        <v>24180.75</v>
      </c>
      <c r="E933">
        <v>24186.400000000001</v>
      </c>
      <c r="F933" s="2">
        <f t="shared" si="43"/>
        <v>15.849999999998545</v>
      </c>
      <c r="G933" s="3">
        <f t="shared" si="44"/>
        <v>28.949448909195471</v>
      </c>
      <c r="H933" t="str">
        <f t="shared" si="42"/>
        <v>2026-07</v>
      </c>
      <c r="I933">
        <v>3</v>
      </c>
    </row>
    <row r="934" spans="1:9" x14ac:dyDescent="0.25">
      <c r="A934" t="s">
        <v>939</v>
      </c>
      <c r="B934">
        <v>24186.5</v>
      </c>
      <c r="C934">
        <v>24188.7</v>
      </c>
      <c r="D934">
        <v>24166.65</v>
      </c>
      <c r="E934">
        <v>24173.3</v>
      </c>
      <c r="F934" s="2">
        <f t="shared" si="43"/>
        <v>22.049999999999272</v>
      </c>
      <c r="G934" s="3">
        <f t="shared" si="44"/>
        <v>28.456631129967171</v>
      </c>
      <c r="H934" t="str">
        <f t="shared" si="42"/>
        <v>2026-07</v>
      </c>
      <c r="I934">
        <v>3</v>
      </c>
    </row>
    <row r="935" spans="1:9" x14ac:dyDescent="0.25">
      <c r="A935" t="s">
        <v>940</v>
      </c>
      <c r="B935">
        <v>24173.05</v>
      </c>
      <c r="C935">
        <v>24188.1</v>
      </c>
      <c r="D935">
        <v>24159.55</v>
      </c>
      <c r="E935">
        <v>24161.25</v>
      </c>
      <c r="F935" s="2">
        <f t="shared" si="43"/>
        <v>28.549999999999272</v>
      </c>
      <c r="G935" s="3">
        <f t="shared" si="44"/>
        <v>28.463300334969464</v>
      </c>
      <c r="H935" t="str">
        <f t="shared" si="42"/>
        <v>2026-07</v>
      </c>
      <c r="I935">
        <v>3</v>
      </c>
    </row>
    <row r="936" spans="1:9" x14ac:dyDescent="0.25">
      <c r="A936" t="s">
        <v>941</v>
      </c>
      <c r="B936">
        <v>24161.65</v>
      </c>
      <c r="C936">
        <v>24175.200000000001</v>
      </c>
      <c r="D936">
        <v>24158.05</v>
      </c>
      <c r="E936">
        <v>24169.85</v>
      </c>
      <c r="F936" s="2">
        <f t="shared" si="43"/>
        <v>17.150000000001455</v>
      </c>
      <c r="G936" s="3">
        <f t="shared" si="44"/>
        <v>27.655207453900321</v>
      </c>
      <c r="H936" t="str">
        <f t="shared" si="42"/>
        <v>2026-07</v>
      </c>
      <c r="I936">
        <v>3</v>
      </c>
    </row>
    <row r="937" spans="1:9" x14ac:dyDescent="0.25">
      <c r="A937" t="s">
        <v>942</v>
      </c>
      <c r="B937">
        <v>24169.3</v>
      </c>
      <c r="C937">
        <v>24183.7</v>
      </c>
      <c r="D937">
        <v>24168.45</v>
      </c>
      <c r="E937">
        <v>24173.1</v>
      </c>
      <c r="F937" s="2">
        <f t="shared" si="43"/>
        <v>15.25</v>
      </c>
      <c r="G937" s="3">
        <f t="shared" si="44"/>
        <v>26.769121207193155</v>
      </c>
      <c r="H937" t="str">
        <f t="shared" si="42"/>
        <v>2026-07</v>
      </c>
      <c r="I937">
        <v>3</v>
      </c>
    </row>
    <row r="938" spans="1:9" x14ac:dyDescent="0.25">
      <c r="A938" t="s">
        <v>943</v>
      </c>
      <c r="B938">
        <v>24173.65</v>
      </c>
      <c r="C938">
        <v>24182.7</v>
      </c>
      <c r="D938">
        <v>24169.85</v>
      </c>
      <c r="E938">
        <v>24172.1</v>
      </c>
      <c r="F938" s="2">
        <f t="shared" si="43"/>
        <v>12.850000000002183</v>
      </c>
      <c r="G938" s="3">
        <f t="shared" si="44"/>
        <v>25.774898263822372</v>
      </c>
      <c r="H938" t="str">
        <f t="shared" si="42"/>
        <v>2026-07</v>
      </c>
      <c r="I938">
        <v>3</v>
      </c>
    </row>
    <row r="939" spans="1:9" x14ac:dyDescent="0.25">
      <c r="A939" t="s">
        <v>944</v>
      </c>
      <c r="B939">
        <v>24171.95</v>
      </c>
      <c r="C939">
        <v>24190.5</v>
      </c>
      <c r="D939">
        <v>24167.7</v>
      </c>
      <c r="E939">
        <v>24172.55</v>
      </c>
      <c r="F939" s="2">
        <f t="shared" si="43"/>
        <v>22.799999999999272</v>
      </c>
      <c r="G939" s="3">
        <f t="shared" si="44"/>
        <v>25.562405530692153</v>
      </c>
      <c r="H939" t="str">
        <f t="shared" si="42"/>
        <v>2026-07</v>
      </c>
      <c r="I939">
        <v>3</v>
      </c>
    </row>
    <row r="940" spans="1:9" x14ac:dyDescent="0.25">
      <c r="A940" t="s">
        <v>945</v>
      </c>
      <c r="B940">
        <v>24172.799999999999</v>
      </c>
      <c r="C940">
        <v>24177.3</v>
      </c>
      <c r="D940">
        <v>24148.75</v>
      </c>
      <c r="E940">
        <v>24151.7</v>
      </c>
      <c r="F940" s="2">
        <f t="shared" si="43"/>
        <v>28.549999999999272</v>
      </c>
      <c r="G940" s="3">
        <f t="shared" si="44"/>
        <v>25.77580513564266</v>
      </c>
      <c r="H940" t="str">
        <f t="shared" si="42"/>
        <v>2026-07</v>
      </c>
      <c r="I940">
        <v>3</v>
      </c>
    </row>
    <row r="941" spans="1:9" x14ac:dyDescent="0.25">
      <c r="A941" t="s">
        <v>946</v>
      </c>
      <c r="B941">
        <v>24151.05</v>
      </c>
      <c r="C941">
        <v>24159.1</v>
      </c>
      <c r="D941">
        <v>24135.65</v>
      </c>
      <c r="E941">
        <v>24151.75</v>
      </c>
      <c r="F941" s="2">
        <f t="shared" si="43"/>
        <v>23.44999999999709</v>
      </c>
      <c r="G941" s="3">
        <f t="shared" si="44"/>
        <v>25.609676197382264</v>
      </c>
      <c r="H941" t="str">
        <f t="shared" si="42"/>
        <v>2026-07</v>
      </c>
      <c r="I941">
        <v>3</v>
      </c>
    </row>
    <row r="942" spans="1:9" x14ac:dyDescent="0.25">
      <c r="A942" t="s">
        <v>947</v>
      </c>
      <c r="B942">
        <v>24151.55</v>
      </c>
      <c r="C942">
        <v>24174.1</v>
      </c>
      <c r="D942">
        <v>24148.400000000001</v>
      </c>
      <c r="E942">
        <v>24172.1</v>
      </c>
      <c r="F942" s="2">
        <f t="shared" si="43"/>
        <v>25.69999999999709</v>
      </c>
      <c r="G942" s="3">
        <f t="shared" si="44"/>
        <v>25.616127897569037</v>
      </c>
      <c r="H942" t="str">
        <f t="shared" si="42"/>
        <v>2026-07</v>
      </c>
      <c r="I942">
        <v>3</v>
      </c>
    </row>
    <row r="943" spans="1:9" x14ac:dyDescent="0.25">
      <c r="A943" t="s">
        <v>948</v>
      </c>
      <c r="B943">
        <v>24171.85</v>
      </c>
      <c r="C943">
        <v>24195.3</v>
      </c>
      <c r="D943">
        <v>24170.45</v>
      </c>
      <c r="E943">
        <v>24190.5</v>
      </c>
      <c r="F943" s="2">
        <f t="shared" si="43"/>
        <v>24.849999999998545</v>
      </c>
      <c r="G943" s="3">
        <f t="shared" si="44"/>
        <v>25.561404476314003</v>
      </c>
      <c r="H943" t="str">
        <f t="shared" si="42"/>
        <v>2026-07</v>
      </c>
      <c r="I943">
        <v>3</v>
      </c>
    </row>
    <row r="944" spans="1:9" x14ac:dyDescent="0.25">
      <c r="A944" t="s">
        <v>949</v>
      </c>
      <c r="B944">
        <v>24190.45</v>
      </c>
      <c r="C944">
        <v>24192.5</v>
      </c>
      <c r="D944">
        <v>24158.45</v>
      </c>
      <c r="E944">
        <v>24163.45</v>
      </c>
      <c r="F944" s="2">
        <f t="shared" si="43"/>
        <v>34.049999999999272</v>
      </c>
      <c r="G944" s="3">
        <f t="shared" si="44"/>
        <v>26.167732728005806</v>
      </c>
      <c r="H944" t="str">
        <f t="shared" si="42"/>
        <v>2026-07</v>
      </c>
      <c r="I944">
        <v>3</v>
      </c>
    </row>
    <row r="945" spans="1:9" x14ac:dyDescent="0.25">
      <c r="A945" t="s">
        <v>950</v>
      </c>
      <c r="B945">
        <v>24163.25</v>
      </c>
      <c r="C945">
        <v>24182.05</v>
      </c>
      <c r="D945">
        <v>24161.1</v>
      </c>
      <c r="E945">
        <v>24164.05</v>
      </c>
      <c r="F945" s="2">
        <f t="shared" si="43"/>
        <v>20.950000000000728</v>
      </c>
      <c r="G945" s="3">
        <f t="shared" si="44"/>
        <v>25.7950375331483</v>
      </c>
      <c r="H945" t="str">
        <f t="shared" si="42"/>
        <v>2026-07</v>
      </c>
      <c r="I945">
        <v>3</v>
      </c>
    </row>
    <row r="946" spans="1:9" x14ac:dyDescent="0.25">
      <c r="A946" t="s">
        <v>951</v>
      </c>
      <c r="B946">
        <v>24163.25</v>
      </c>
      <c r="C946">
        <v>24180.5</v>
      </c>
      <c r="D946">
        <v>24154.3</v>
      </c>
      <c r="E946">
        <v>24168.85</v>
      </c>
      <c r="F946" s="2">
        <f t="shared" si="43"/>
        <v>26.200000000000728</v>
      </c>
      <c r="G946" s="3">
        <f t="shared" si="44"/>
        <v>25.82396342363776</v>
      </c>
      <c r="H946" t="str">
        <f t="shared" si="42"/>
        <v>2026-07</v>
      </c>
      <c r="I946">
        <v>3</v>
      </c>
    </row>
    <row r="947" spans="1:9" x14ac:dyDescent="0.25">
      <c r="A947" t="s">
        <v>952</v>
      </c>
      <c r="B947">
        <v>24167.95</v>
      </c>
      <c r="C947">
        <v>24176.3</v>
      </c>
      <c r="D947">
        <v>24156.05</v>
      </c>
      <c r="E947">
        <v>24172.7</v>
      </c>
      <c r="F947" s="2">
        <f t="shared" si="43"/>
        <v>20.25</v>
      </c>
      <c r="G947" s="3">
        <f t="shared" si="44"/>
        <v>25.425823179092209</v>
      </c>
      <c r="H947" t="str">
        <f t="shared" si="42"/>
        <v>2026-07</v>
      </c>
      <c r="I947">
        <v>3</v>
      </c>
    </row>
    <row r="948" spans="1:9" x14ac:dyDescent="0.25">
      <c r="A948" t="s">
        <v>953</v>
      </c>
      <c r="B948">
        <v>24173</v>
      </c>
      <c r="C948">
        <v>24192.75</v>
      </c>
      <c r="D948">
        <v>24164.85</v>
      </c>
      <c r="E948">
        <v>24182.35</v>
      </c>
      <c r="F948" s="2">
        <f t="shared" si="43"/>
        <v>27.900000000001455</v>
      </c>
      <c r="G948" s="3">
        <f t="shared" si="44"/>
        <v>25.602550094871443</v>
      </c>
      <c r="H948" t="str">
        <f t="shared" si="42"/>
        <v>2026-07</v>
      </c>
      <c r="I948">
        <v>3</v>
      </c>
    </row>
    <row r="949" spans="1:9" x14ac:dyDescent="0.25">
      <c r="A949" t="s">
        <v>954</v>
      </c>
      <c r="B949">
        <v>24182.1</v>
      </c>
      <c r="C949">
        <v>24197.200000000001</v>
      </c>
      <c r="D949">
        <v>24180.05</v>
      </c>
      <c r="E949">
        <v>24183.85</v>
      </c>
      <c r="F949" s="2">
        <f t="shared" si="43"/>
        <v>17.150000000001455</v>
      </c>
      <c r="G949" s="3">
        <f t="shared" si="44"/>
        <v>24.998796516666442</v>
      </c>
      <c r="H949" t="str">
        <f t="shared" si="42"/>
        <v>2026-07</v>
      </c>
      <c r="I949">
        <v>3</v>
      </c>
    </row>
    <row r="950" spans="1:9" x14ac:dyDescent="0.25">
      <c r="A950" t="s">
        <v>955</v>
      </c>
      <c r="B950">
        <v>24184.1</v>
      </c>
      <c r="C950">
        <v>24196.15</v>
      </c>
      <c r="D950">
        <v>24182.1</v>
      </c>
      <c r="E950">
        <v>24193.95</v>
      </c>
      <c r="F950" s="2">
        <f t="shared" si="43"/>
        <v>14.05000000000291</v>
      </c>
      <c r="G950" s="3">
        <f t="shared" si="44"/>
        <v>24.216739622619048</v>
      </c>
      <c r="H950" t="str">
        <f t="shared" si="42"/>
        <v>2026-07</v>
      </c>
      <c r="I950">
        <v>3</v>
      </c>
    </row>
    <row r="951" spans="1:9" x14ac:dyDescent="0.25">
      <c r="A951" t="s">
        <v>956</v>
      </c>
      <c r="B951">
        <v>24145.8</v>
      </c>
      <c r="C951">
        <v>24166.3</v>
      </c>
      <c r="D951">
        <v>24046.95</v>
      </c>
      <c r="E951">
        <v>24048.9</v>
      </c>
      <c r="F951" s="2">
        <f t="shared" si="43"/>
        <v>147</v>
      </c>
      <c r="G951" s="3">
        <f t="shared" si="44"/>
        <v>32.986972506717692</v>
      </c>
      <c r="H951" t="str">
        <f t="shared" si="42"/>
        <v>2026-07</v>
      </c>
      <c r="I951">
        <v>3</v>
      </c>
    </row>
    <row r="952" spans="1:9" x14ac:dyDescent="0.25">
      <c r="A952" t="s">
        <v>957</v>
      </c>
      <c r="B952">
        <v>24051</v>
      </c>
      <c r="C952">
        <v>24058.05</v>
      </c>
      <c r="D952">
        <v>24016.15</v>
      </c>
      <c r="E952">
        <v>24027</v>
      </c>
      <c r="F952" s="2">
        <f t="shared" si="43"/>
        <v>41.899999999997817</v>
      </c>
      <c r="G952" s="3">
        <f t="shared" si="44"/>
        <v>33.623617327666274</v>
      </c>
      <c r="H952" t="str">
        <f t="shared" si="42"/>
        <v>2026-07</v>
      </c>
      <c r="I952">
        <v>3</v>
      </c>
    </row>
    <row r="953" spans="1:9" x14ac:dyDescent="0.25">
      <c r="A953" t="s">
        <v>958</v>
      </c>
      <c r="B953">
        <v>24028.35</v>
      </c>
      <c r="C953">
        <v>24031.3</v>
      </c>
      <c r="D953">
        <v>24008.7</v>
      </c>
      <c r="E953">
        <v>24020.2</v>
      </c>
      <c r="F953" s="2">
        <f t="shared" si="43"/>
        <v>22.599999999998545</v>
      </c>
      <c r="G953" s="3">
        <f t="shared" si="44"/>
        <v>32.836216089975721</v>
      </c>
      <c r="H953" t="str">
        <f t="shared" si="42"/>
        <v>2026-07</v>
      </c>
      <c r="I953">
        <v>3</v>
      </c>
    </row>
    <row r="954" spans="1:9" x14ac:dyDescent="0.25">
      <c r="A954" t="s">
        <v>959</v>
      </c>
      <c r="B954">
        <v>24021.8</v>
      </c>
      <c r="C954">
        <v>24052.75</v>
      </c>
      <c r="D954">
        <v>24012.75</v>
      </c>
      <c r="E954">
        <v>24033.45</v>
      </c>
      <c r="F954" s="2">
        <f t="shared" si="43"/>
        <v>40</v>
      </c>
      <c r="G954" s="3">
        <f t="shared" si="44"/>
        <v>33.347914940691744</v>
      </c>
      <c r="H954" t="str">
        <f t="shared" si="42"/>
        <v>2026-07</v>
      </c>
      <c r="I954">
        <v>3</v>
      </c>
    </row>
    <row r="955" spans="1:9" x14ac:dyDescent="0.25">
      <c r="A955" t="s">
        <v>960</v>
      </c>
      <c r="B955">
        <v>24033.8</v>
      </c>
      <c r="C955">
        <v>24033.8</v>
      </c>
      <c r="D955">
        <v>23973.7</v>
      </c>
      <c r="E955">
        <v>24007.599999999999</v>
      </c>
      <c r="F955" s="2">
        <f t="shared" si="43"/>
        <v>60.099999999998545</v>
      </c>
      <c r="G955" s="3">
        <f t="shared" si="44"/>
        <v>35.258778159213662</v>
      </c>
      <c r="H955" t="str">
        <f t="shared" si="42"/>
        <v>2026-07</v>
      </c>
      <c r="I955">
        <v>3</v>
      </c>
    </row>
    <row r="956" spans="1:9" x14ac:dyDescent="0.25">
      <c r="A956" t="s">
        <v>961</v>
      </c>
      <c r="B956">
        <v>24009.25</v>
      </c>
      <c r="C956">
        <v>24013.5</v>
      </c>
      <c r="D956">
        <v>23989.200000000001</v>
      </c>
      <c r="E956">
        <v>23989.200000000001</v>
      </c>
      <c r="F956" s="2">
        <f t="shared" si="43"/>
        <v>24.299999999999272</v>
      </c>
      <c r="G956" s="3">
        <f t="shared" si="44"/>
        <v>34.476008290698346</v>
      </c>
      <c r="H956" t="str">
        <f t="shared" si="42"/>
        <v>2026-07</v>
      </c>
      <c r="I956">
        <v>3</v>
      </c>
    </row>
    <row r="957" spans="1:9" x14ac:dyDescent="0.25">
      <c r="A957" t="s">
        <v>962</v>
      </c>
      <c r="B957">
        <v>23991.599999999999</v>
      </c>
      <c r="C957">
        <v>24030.799999999999</v>
      </c>
      <c r="D957">
        <v>23988.25</v>
      </c>
      <c r="E957">
        <v>24025.95</v>
      </c>
      <c r="F957" s="2">
        <f t="shared" si="43"/>
        <v>42.549999999999272</v>
      </c>
      <c r="G957" s="3">
        <f t="shared" si="44"/>
        <v>35.052721984219843</v>
      </c>
      <c r="H957" t="str">
        <f t="shared" si="42"/>
        <v>2026-07</v>
      </c>
      <c r="I957">
        <v>3</v>
      </c>
    </row>
    <row r="958" spans="1:9" x14ac:dyDescent="0.25">
      <c r="A958" t="s">
        <v>963</v>
      </c>
      <c r="B958">
        <v>24027.35</v>
      </c>
      <c r="C958">
        <v>24028.1</v>
      </c>
      <c r="D958">
        <v>24011.35</v>
      </c>
      <c r="E958">
        <v>24013.7</v>
      </c>
      <c r="F958" s="2">
        <f t="shared" si="43"/>
        <v>16.75</v>
      </c>
      <c r="G958" s="3">
        <f t="shared" si="44"/>
        <v>33.745384699632709</v>
      </c>
      <c r="H958" t="str">
        <f t="shared" si="42"/>
        <v>2026-07</v>
      </c>
      <c r="I958">
        <v>3</v>
      </c>
    </row>
    <row r="959" spans="1:9" x14ac:dyDescent="0.25">
      <c r="A959" t="s">
        <v>964</v>
      </c>
      <c r="B959">
        <v>24015.200000000001</v>
      </c>
      <c r="C959">
        <v>24042</v>
      </c>
      <c r="D959">
        <v>24012.9</v>
      </c>
      <c r="E959">
        <v>24041.55</v>
      </c>
      <c r="F959" s="2">
        <f t="shared" si="43"/>
        <v>29.099999999998545</v>
      </c>
      <c r="G959" s="3">
        <f t="shared" si="44"/>
        <v>33.413571506801695</v>
      </c>
      <c r="H959" t="str">
        <f t="shared" si="42"/>
        <v>2026-07</v>
      </c>
      <c r="I959">
        <v>3</v>
      </c>
    </row>
    <row r="960" spans="1:9" x14ac:dyDescent="0.25">
      <c r="A960" t="s">
        <v>965</v>
      </c>
      <c r="B960">
        <v>24042.75</v>
      </c>
      <c r="C960">
        <v>24050.65</v>
      </c>
      <c r="D960">
        <v>24036.5</v>
      </c>
      <c r="E960">
        <v>24045.7</v>
      </c>
      <c r="F960" s="2">
        <f t="shared" si="43"/>
        <v>14.150000000001455</v>
      </c>
      <c r="G960" s="3">
        <f t="shared" si="44"/>
        <v>32.037602113458817</v>
      </c>
      <c r="H960" t="str">
        <f t="shared" si="42"/>
        <v>2026-07</v>
      </c>
      <c r="I960">
        <v>3</v>
      </c>
    </row>
    <row r="961" spans="1:9" x14ac:dyDescent="0.25">
      <c r="A961" t="s">
        <v>966</v>
      </c>
      <c r="B961">
        <v>24046.799999999999</v>
      </c>
      <c r="C961">
        <v>24049</v>
      </c>
      <c r="D961">
        <v>24022</v>
      </c>
      <c r="E961">
        <v>24022</v>
      </c>
      <c r="F961" s="2">
        <f t="shared" si="43"/>
        <v>27</v>
      </c>
      <c r="G961" s="3">
        <f t="shared" si="44"/>
        <v>31.677773391068904</v>
      </c>
      <c r="H961" t="str">
        <f t="shared" si="42"/>
        <v>2026-07</v>
      </c>
      <c r="I961">
        <v>3</v>
      </c>
    </row>
    <row r="962" spans="1:9" x14ac:dyDescent="0.25">
      <c r="A962" t="s">
        <v>967</v>
      </c>
      <c r="B962">
        <v>24023.4</v>
      </c>
      <c r="C962">
        <v>24024.5</v>
      </c>
      <c r="D962">
        <v>23995.25</v>
      </c>
      <c r="E962">
        <v>23996.25</v>
      </c>
      <c r="F962" s="2">
        <f t="shared" si="43"/>
        <v>29.25</v>
      </c>
      <c r="G962" s="3">
        <f t="shared" si="44"/>
        <v>31.504361005992553</v>
      </c>
      <c r="H962" t="str">
        <f t="shared" ref="H962:H1025" si="45">LEFT(A962,7)</f>
        <v>2026-07</v>
      </c>
      <c r="I962">
        <v>3</v>
      </c>
    </row>
    <row r="963" spans="1:9" x14ac:dyDescent="0.25">
      <c r="A963" t="s">
        <v>968</v>
      </c>
      <c r="B963">
        <v>23997.85</v>
      </c>
      <c r="C963">
        <v>23999.8</v>
      </c>
      <c r="D963">
        <v>23968.55</v>
      </c>
      <c r="E963">
        <v>23980.9</v>
      </c>
      <c r="F963" s="2">
        <f t="shared" ref="F963:F1026" si="46">MAX(C963-D963,ABS(C963-E962),ABS(D963-E962))</f>
        <v>31.25</v>
      </c>
      <c r="G963" s="3">
        <f t="shared" si="44"/>
        <v>31.486192362707374</v>
      </c>
      <c r="H963" t="str">
        <f t="shared" si="45"/>
        <v>2026-07</v>
      </c>
      <c r="I963">
        <v>3</v>
      </c>
    </row>
    <row r="964" spans="1:9" x14ac:dyDescent="0.25">
      <c r="A964" t="s">
        <v>969</v>
      </c>
      <c r="B964">
        <v>23982.400000000001</v>
      </c>
      <c r="C964">
        <v>23983.4</v>
      </c>
      <c r="D964">
        <v>23961.4</v>
      </c>
      <c r="E964">
        <v>23983.25</v>
      </c>
      <c r="F964" s="2">
        <f t="shared" si="46"/>
        <v>22</v>
      </c>
      <c r="G964" s="3">
        <f t="shared" si="44"/>
        <v>30.80860719394256</v>
      </c>
      <c r="H964" t="str">
        <f t="shared" si="45"/>
        <v>2026-07</v>
      </c>
      <c r="I964">
        <v>3</v>
      </c>
    </row>
    <row r="965" spans="1:9" x14ac:dyDescent="0.25">
      <c r="A965" t="s">
        <v>970</v>
      </c>
      <c r="B965">
        <v>23985.1</v>
      </c>
      <c r="C965">
        <v>24017.05</v>
      </c>
      <c r="D965">
        <v>23978</v>
      </c>
      <c r="E965">
        <v>24003.599999999999</v>
      </c>
      <c r="F965" s="2">
        <f t="shared" si="46"/>
        <v>39.049999999999272</v>
      </c>
      <c r="G965" s="3">
        <f t="shared" si="44"/>
        <v>31.397278108660895</v>
      </c>
      <c r="H965" t="str">
        <f t="shared" si="45"/>
        <v>2026-07</v>
      </c>
      <c r="I965">
        <v>3</v>
      </c>
    </row>
    <row r="966" spans="1:9" x14ac:dyDescent="0.25">
      <c r="A966" t="s">
        <v>971</v>
      </c>
      <c r="B966">
        <v>24003.3</v>
      </c>
      <c r="C966">
        <v>24003.8</v>
      </c>
      <c r="D966">
        <v>23968.3</v>
      </c>
      <c r="E966">
        <v>23978.85</v>
      </c>
      <c r="F966" s="2">
        <f t="shared" si="46"/>
        <v>35.5</v>
      </c>
      <c r="G966" s="3">
        <f t="shared" si="44"/>
        <v>31.690329672327973</v>
      </c>
      <c r="H966" t="str">
        <f t="shared" si="45"/>
        <v>2026-07</v>
      </c>
      <c r="I966">
        <v>3</v>
      </c>
    </row>
    <row r="967" spans="1:9" x14ac:dyDescent="0.25">
      <c r="A967" t="s">
        <v>972</v>
      </c>
      <c r="B967">
        <v>23980.45</v>
      </c>
      <c r="C967">
        <v>23986.35</v>
      </c>
      <c r="D967">
        <v>23973.15</v>
      </c>
      <c r="E967">
        <v>23979.3</v>
      </c>
      <c r="F967" s="2">
        <f t="shared" si="46"/>
        <v>13.19999999999709</v>
      </c>
      <c r="G967" s="3">
        <f t="shared" si="44"/>
        <v>30.369591838590054</v>
      </c>
      <c r="H967" t="str">
        <f t="shared" si="45"/>
        <v>2026-07</v>
      </c>
      <c r="I967">
        <v>3</v>
      </c>
    </row>
    <row r="968" spans="1:9" x14ac:dyDescent="0.25">
      <c r="A968" t="s">
        <v>973</v>
      </c>
      <c r="B968">
        <v>23981.45</v>
      </c>
      <c r="C968">
        <v>24014.400000000001</v>
      </c>
      <c r="D968">
        <v>23979.3</v>
      </c>
      <c r="E968">
        <v>23995.35</v>
      </c>
      <c r="F968" s="2">
        <f t="shared" si="46"/>
        <v>35.100000000002183</v>
      </c>
      <c r="G968" s="3">
        <f t="shared" si="44"/>
        <v>30.707478135833778</v>
      </c>
      <c r="H968" t="str">
        <f t="shared" si="45"/>
        <v>2026-07</v>
      </c>
      <c r="I968">
        <v>3</v>
      </c>
    </row>
    <row r="969" spans="1:9" x14ac:dyDescent="0.25">
      <c r="A969" t="s">
        <v>974</v>
      </c>
      <c r="B969">
        <v>23996.45</v>
      </c>
      <c r="C969">
        <v>23996.55</v>
      </c>
      <c r="D969">
        <v>23974.400000000001</v>
      </c>
      <c r="E969">
        <v>23976.5</v>
      </c>
      <c r="F969" s="2">
        <f t="shared" si="46"/>
        <v>22.149999999997817</v>
      </c>
      <c r="G969" s="3">
        <f t="shared" si="44"/>
        <v>30.096229697559782</v>
      </c>
      <c r="H969" t="str">
        <f t="shared" si="45"/>
        <v>2026-07</v>
      </c>
      <c r="I969">
        <v>3</v>
      </c>
    </row>
    <row r="970" spans="1:9" x14ac:dyDescent="0.25">
      <c r="A970" t="s">
        <v>975</v>
      </c>
      <c r="B970">
        <v>23978.15</v>
      </c>
      <c r="C970">
        <v>23984.6</v>
      </c>
      <c r="D970">
        <v>23964.6</v>
      </c>
      <c r="E970">
        <v>23973.35</v>
      </c>
      <c r="F970" s="2">
        <f t="shared" si="46"/>
        <v>20</v>
      </c>
      <c r="G970" s="3">
        <f t="shared" si="44"/>
        <v>29.375070433448368</v>
      </c>
      <c r="H970" t="str">
        <f t="shared" si="45"/>
        <v>2026-07</v>
      </c>
      <c r="I970">
        <v>3</v>
      </c>
    </row>
    <row r="971" spans="1:9" x14ac:dyDescent="0.25">
      <c r="A971" t="s">
        <v>976</v>
      </c>
      <c r="B971">
        <v>23975.25</v>
      </c>
      <c r="C971">
        <v>23988.799999999999</v>
      </c>
      <c r="D971">
        <v>23970.6</v>
      </c>
      <c r="E971">
        <v>23972.35</v>
      </c>
      <c r="F971" s="2">
        <f t="shared" si="46"/>
        <v>18.200000000000728</v>
      </c>
      <c r="G971" s="3">
        <f t="shared" si="44"/>
        <v>28.576851116773536</v>
      </c>
      <c r="H971" t="str">
        <f t="shared" si="45"/>
        <v>2026-07</v>
      </c>
      <c r="I971">
        <v>3</v>
      </c>
    </row>
    <row r="972" spans="1:9" x14ac:dyDescent="0.25">
      <c r="A972" t="s">
        <v>977</v>
      </c>
      <c r="B972">
        <v>23974.3</v>
      </c>
      <c r="C972">
        <v>23992.05</v>
      </c>
      <c r="D972">
        <v>23968.5</v>
      </c>
      <c r="E972">
        <v>23976.3</v>
      </c>
      <c r="F972" s="2">
        <f t="shared" si="46"/>
        <v>23.549999999999272</v>
      </c>
      <c r="G972" s="3">
        <f t="shared" si="44"/>
        <v>28.21779032271823</v>
      </c>
      <c r="H972" t="str">
        <f t="shared" si="45"/>
        <v>2026-07</v>
      </c>
      <c r="I972">
        <v>3</v>
      </c>
    </row>
    <row r="973" spans="1:9" x14ac:dyDescent="0.25">
      <c r="A973" t="s">
        <v>978</v>
      </c>
      <c r="B973">
        <v>23978.45</v>
      </c>
      <c r="C973">
        <v>23991.85</v>
      </c>
      <c r="D973">
        <v>23974.95</v>
      </c>
      <c r="E973">
        <v>23979.9</v>
      </c>
      <c r="F973" s="2">
        <f t="shared" si="46"/>
        <v>16.899999999997817</v>
      </c>
      <c r="G973" s="3">
        <f t="shared" si="44"/>
        <v>27.409376728238197</v>
      </c>
      <c r="H973" t="str">
        <f t="shared" si="45"/>
        <v>2026-07</v>
      </c>
      <c r="I973">
        <v>3</v>
      </c>
    </row>
    <row r="974" spans="1:9" x14ac:dyDescent="0.25">
      <c r="A974" t="s">
        <v>979</v>
      </c>
      <c r="B974">
        <v>23980.85</v>
      </c>
      <c r="C974">
        <v>24023.95</v>
      </c>
      <c r="D974">
        <v>23973.35</v>
      </c>
      <c r="E974">
        <v>24021.15</v>
      </c>
      <c r="F974" s="2">
        <f t="shared" si="46"/>
        <v>50.600000000002183</v>
      </c>
      <c r="G974" s="3">
        <f t="shared" si="44"/>
        <v>29.065849819078483</v>
      </c>
      <c r="H974" t="str">
        <f t="shared" si="45"/>
        <v>2026-07</v>
      </c>
      <c r="I974">
        <v>3</v>
      </c>
    </row>
    <row r="975" spans="1:9" x14ac:dyDescent="0.25">
      <c r="A975" t="s">
        <v>980</v>
      </c>
      <c r="B975">
        <v>24021.599999999999</v>
      </c>
      <c r="C975">
        <v>24024.799999999999</v>
      </c>
      <c r="D975">
        <v>23990.799999999999</v>
      </c>
      <c r="E975">
        <v>23991.05</v>
      </c>
      <c r="F975" s="2">
        <f t="shared" si="46"/>
        <v>34</v>
      </c>
      <c r="G975" s="3">
        <f t="shared" si="44"/>
        <v>29.418289117715737</v>
      </c>
      <c r="H975" t="str">
        <f t="shared" si="45"/>
        <v>2026-07</v>
      </c>
      <c r="I975">
        <v>3</v>
      </c>
    </row>
    <row r="976" spans="1:9" x14ac:dyDescent="0.25">
      <c r="A976" t="s">
        <v>981</v>
      </c>
      <c r="B976">
        <v>23907.55</v>
      </c>
      <c r="C976">
        <v>23952</v>
      </c>
      <c r="D976">
        <v>23876.2</v>
      </c>
      <c r="E976">
        <v>23921.1</v>
      </c>
      <c r="F976" s="2">
        <f t="shared" si="46"/>
        <v>114.84999999999854</v>
      </c>
      <c r="G976" s="3">
        <f t="shared" ref="G976:G1039" si="47">(G975*13+F976)/14</f>
        <v>35.520554180735935</v>
      </c>
      <c r="H976" t="str">
        <f t="shared" si="45"/>
        <v>2026-07</v>
      </c>
      <c r="I976">
        <v>3</v>
      </c>
    </row>
    <row r="977" spans="1:9" x14ac:dyDescent="0.25">
      <c r="A977" t="s">
        <v>982</v>
      </c>
      <c r="B977">
        <v>23921.55</v>
      </c>
      <c r="C977">
        <v>23929.8</v>
      </c>
      <c r="D977">
        <v>23892.6</v>
      </c>
      <c r="E977">
        <v>23907.85</v>
      </c>
      <c r="F977" s="2">
        <f t="shared" si="46"/>
        <v>37.200000000000728</v>
      </c>
      <c r="G977" s="3">
        <f t="shared" si="47"/>
        <v>35.640514596397708</v>
      </c>
      <c r="H977" t="str">
        <f t="shared" si="45"/>
        <v>2026-07</v>
      </c>
      <c r="I977">
        <v>3</v>
      </c>
    </row>
    <row r="978" spans="1:9" x14ac:dyDescent="0.25">
      <c r="A978" t="s">
        <v>983</v>
      </c>
      <c r="B978">
        <v>23907.75</v>
      </c>
      <c r="C978">
        <v>23944</v>
      </c>
      <c r="D978">
        <v>23901.45</v>
      </c>
      <c r="E978">
        <v>23943.7</v>
      </c>
      <c r="F978" s="2">
        <f t="shared" si="46"/>
        <v>42.549999999999272</v>
      </c>
      <c r="G978" s="3">
        <f t="shared" si="47"/>
        <v>36.13404926808353</v>
      </c>
      <c r="H978" t="str">
        <f t="shared" si="45"/>
        <v>2026-07</v>
      </c>
      <c r="I978">
        <v>3</v>
      </c>
    </row>
    <row r="979" spans="1:9" x14ac:dyDescent="0.25">
      <c r="A979" t="s">
        <v>984</v>
      </c>
      <c r="B979">
        <v>23942.95</v>
      </c>
      <c r="C979">
        <v>23969.95</v>
      </c>
      <c r="D979">
        <v>23940.25</v>
      </c>
      <c r="E979">
        <v>23958.25</v>
      </c>
      <c r="F979" s="2">
        <f t="shared" si="46"/>
        <v>29.700000000000728</v>
      </c>
      <c r="G979" s="3">
        <f t="shared" si="47"/>
        <v>35.674474320363331</v>
      </c>
      <c r="H979" t="str">
        <f t="shared" si="45"/>
        <v>2026-07</v>
      </c>
      <c r="I979">
        <v>3</v>
      </c>
    </row>
    <row r="980" spans="1:9" x14ac:dyDescent="0.25">
      <c r="A980" t="s">
        <v>985</v>
      </c>
      <c r="B980">
        <v>23957.35</v>
      </c>
      <c r="C980">
        <v>23973.7</v>
      </c>
      <c r="D980">
        <v>23943.8</v>
      </c>
      <c r="E980">
        <v>23969.65</v>
      </c>
      <c r="F980" s="2">
        <f t="shared" si="46"/>
        <v>29.900000000001455</v>
      </c>
      <c r="G980" s="3">
        <f t="shared" si="47"/>
        <v>35.262011868908914</v>
      </c>
      <c r="H980" t="str">
        <f t="shared" si="45"/>
        <v>2026-07</v>
      </c>
      <c r="I980">
        <v>3</v>
      </c>
    </row>
    <row r="981" spans="1:9" x14ac:dyDescent="0.25">
      <c r="A981" t="s">
        <v>986</v>
      </c>
      <c r="B981">
        <v>23970.3</v>
      </c>
      <c r="C981">
        <v>23978.85</v>
      </c>
      <c r="D981">
        <v>23958.2</v>
      </c>
      <c r="E981">
        <v>23974.400000000001</v>
      </c>
      <c r="F981" s="2">
        <f t="shared" si="46"/>
        <v>20.649999999997817</v>
      </c>
      <c r="G981" s="3">
        <f t="shared" si="47"/>
        <v>34.218296735415265</v>
      </c>
      <c r="H981" t="str">
        <f t="shared" si="45"/>
        <v>2026-07</v>
      </c>
      <c r="I981">
        <v>3</v>
      </c>
    </row>
    <row r="982" spans="1:9" x14ac:dyDescent="0.25">
      <c r="A982" t="s">
        <v>987</v>
      </c>
      <c r="B982">
        <v>23974.95</v>
      </c>
      <c r="C982">
        <v>23984.7</v>
      </c>
      <c r="D982">
        <v>23966.15</v>
      </c>
      <c r="E982">
        <v>23977</v>
      </c>
      <c r="F982" s="2">
        <f t="shared" si="46"/>
        <v>18.549999999999272</v>
      </c>
      <c r="G982" s="3">
        <f t="shared" si="47"/>
        <v>33.099132682885553</v>
      </c>
      <c r="H982" t="str">
        <f t="shared" si="45"/>
        <v>2026-07</v>
      </c>
      <c r="I982">
        <v>3</v>
      </c>
    </row>
    <row r="983" spans="1:9" x14ac:dyDescent="0.25">
      <c r="A983" t="s">
        <v>988</v>
      </c>
      <c r="B983">
        <v>23977.3</v>
      </c>
      <c r="C983">
        <v>23990.75</v>
      </c>
      <c r="D983">
        <v>23971.45</v>
      </c>
      <c r="E983">
        <v>23972.400000000001</v>
      </c>
      <c r="F983" s="2">
        <f t="shared" si="46"/>
        <v>19.299999999999272</v>
      </c>
      <c r="G983" s="3">
        <f t="shared" si="47"/>
        <v>32.113480348393679</v>
      </c>
      <c r="H983" t="str">
        <f t="shared" si="45"/>
        <v>2026-07</v>
      </c>
      <c r="I983">
        <v>3</v>
      </c>
    </row>
    <row r="984" spans="1:9" x14ac:dyDescent="0.25">
      <c r="A984" t="s">
        <v>989</v>
      </c>
      <c r="B984">
        <v>23972.1</v>
      </c>
      <c r="C984">
        <v>23973.8</v>
      </c>
      <c r="D984">
        <v>23944.25</v>
      </c>
      <c r="E984">
        <v>23945.5</v>
      </c>
      <c r="F984" s="2">
        <f t="shared" si="46"/>
        <v>29.549999999999272</v>
      </c>
      <c r="G984" s="3">
        <f t="shared" si="47"/>
        <v>31.93037460922265</v>
      </c>
      <c r="H984" t="str">
        <f t="shared" si="45"/>
        <v>2026-07</v>
      </c>
      <c r="I984">
        <v>3</v>
      </c>
    </row>
    <row r="985" spans="1:9" x14ac:dyDescent="0.25">
      <c r="A985" t="s">
        <v>990</v>
      </c>
      <c r="B985">
        <v>23945.05</v>
      </c>
      <c r="C985">
        <v>23956.3</v>
      </c>
      <c r="D985">
        <v>23939.95</v>
      </c>
      <c r="E985">
        <v>23947.75</v>
      </c>
      <c r="F985" s="2">
        <f t="shared" si="46"/>
        <v>16.349999999998545</v>
      </c>
      <c r="G985" s="3">
        <f t="shared" si="47"/>
        <v>30.817490708563785</v>
      </c>
      <c r="H985" t="str">
        <f t="shared" si="45"/>
        <v>2026-07</v>
      </c>
      <c r="I985">
        <v>3</v>
      </c>
    </row>
    <row r="986" spans="1:9" x14ac:dyDescent="0.25">
      <c r="A986" t="s">
        <v>991</v>
      </c>
      <c r="B986">
        <v>23947.599999999999</v>
      </c>
      <c r="C986">
        <v>23956.45</v>
      </c>
      <c r="D986">
        <v>23930.65</v>
      </c>
      <c r="E986">
        <v>23953.7</v>
      </c>
      <c r="F986" s="2">
        <f t="shared" si="46"/>
        <v>25.799999999999272</v>
      </c>
      <c r="G986" s="3">
        <f t="shared" si="47"/>
        <v>30.45909851509489</v>
      </c>
      <c r="H986" t="str">
        <f t="shared" si="45"/>
        <v>2026-07</v>
      </c>
      <c r="I986">
        <v>3</v>
      </c>
    </row>
    <row r="987" spans="1:9" x14ac:dyDescent="0.25">
      <c r="A987" t="s">
        <v>992</v>
      </c>
      <c r="B987">
        <v>23953.5</v>
      </c>
      <c r="C987">
        <v>23964.3</v>
      </c>
      <c r="D987">
        <v>23933.200000000001</v>
      </c>
      <c r="E987">
        <v>23934.1</v>
      </c>
      <c r="F987" s="2">
        <f t="shared" si="46"/>
        <v>31.099999999998545</v>
      </c>
      <c r="G987" s="3">
        <f t="shared" si="47"/>
        <v>30.504877192588008</v>
      </c>
      <c r="H987" t="str">
        <f t="shared" si="45"/>
        <v>2026-07</v>
      </c>
      <c r="I987">
        <v>3</v>
      </c>
    </row>
    <row r="988" spans="1:9" x14ac:dyDescent="0.25">
      <c r="A988" t="s">
        <v>993</v>
      </c>
      <c r="B988">
        <v>23934.85</v>
      </c>
      <c r="C988">
        <v>23939.35</v>
      </c>
      <c r="D988">
        <v>23911.85</v>
      </c>
      <c r="E988">
        <v>23911.85</v>
      </c>
      <c r="F988" s="2">
        <f t="shared" si="46"/>
        <v>27.5</v>
      </c>
      <c r="G988" s="3">
        <f t="shared" si="47"/>
        <v>30.29024310740315</v>
      </c>
      <c r="H988" t="str">
        <f t="shared" si="45"/>
        <v>2026-07</v>
      </c>
      <c r="I988">
        <v>3</v>
      </c>
    </row>
    <row r="989" spans="1:9" x14ac:dyDescent="0.25">
      <c r="A989" t="s">
        <v>994</v>
      </c>
      <c r="B989">
        <v>23912.5</v>
      </c>
      <c r="C989">
        <v>23915</v>
      </c>
      <c r="D989">
        <v>23854.9</v>
      </c>
      <c r="E989">
        <v>23857.25</v>
      </c>
      <c r="F989" s="2">
        <f t="shared" si="46"/>
        <v>60.099999999998545</v>
      </c>
      <c r="G989" s="3">
        <f t="shared" si="47"/>
        <v>32.419511456874247</v>
      </c>
      <c r="H989" t="str">
        <f t="shared" si="45"/>
        <v>2026-07</v>
      </c>
      <c r="I989">
        <v>3</v>
      </c>
    </row>
    <row r="990" spans="1:9" x14ac:dyDescent="0.25">
      <c r="A990" t="s">
        <v>995</v>
      </c>
      <c r="B990">
        <v>23856.95</v>
      </c>
      <c r="C990">
        <v>23864.45</v>
      </c>
      <c r="D990">
        <v>23843.05</v>
      </c>
      <c r="E990">
        <v>23852.400000000001</v>
      </c>
      <c r="F990" s="2">
        <f t="shared" si="46"/>
        <v>21.400000000001455</v>
      </c>
      <c r="G990" s="3">
        <f t="shared" si="47"/>
        <v>31.632403495669049</v>
      </c>
      <c r="H990" t="str">
        <f t="shared" si="45"/>
        <v>2026-07</v>
      </c>
      <c r="I990">
        <v>3</v>
      </c>
    </row>
    <row r="991" spans="1:9" x14ac:dyDescent="0.25">
      <c r="A991" t="s">
        <v>996</v>
      </c>
      <c r="B991">
        <v>23852.6</v>
      </c>
      <c r="C991">
        <v>23854.35</v>
      </c>
      <c r="D991">
        <v>23826.35</v>
      </c>
      <c r="E991">
        <v>23832</v>
      </c>
      <c r="F991" s="2">
        <f t="shared" si="46"/>
        <v>28</v>
      </c>
      <c r="G991" s="3">
        <f t="shared" si="47"/>
        <v>31.372946103121258</v>
      </c>
      <c r="H991" t="str">
        <f t="shared" si="45"/>
        <v>2026-07</v>
      </c>
      <c r="I991">
        <v>3</v>
      </c>
    </row>
    <row r="992" spans="1:9" x14ac:dyDescent="0.25">
      <c r="A992" t="s">
        <v>997</v>
      </c>
      <c r="B992">
        <v>23831.95</v>
      </c>
      <c r="C992">
        <v>23846.15</v>
      </c>
      <c r="D992">
        <v>23811.85</v>
      </c>
      <c r="E992">
        <v>23838.15</v>
      </c>
      <c r="F992" s="2">
        <f t="shared" si="46"/>
        <v>34.30000000000291</v>
      </c>
      <c r="G992" s="3">
        <f t="shared" si="47"/>
        <v>31.58202138146995</v>
      </c>
      <c r="H992" t="str">
        <f t="shared" si="45"/>
        <v>2026-07</v>
      </c>
      <c r="I992">
        <v>3</v>
      </c>
    </row>
    <row r="993" spans="1:9" x14ac:dyDescent="0.25">
      <c r="A993" t="s">
        <v>998</v>
      </c>
      <c r="B993">
        <v>23838.05</v>
      </c>
      <c r="C993">
        <v>23864.35</v>
      </c>
      <c r="D993">
        <v>23825.95</v>
      </c>
      <c r="E993">
        <v>23850.3</v>
      </c>
      <c r="F993" s="2">
        <f t="shared" si="46"/>
        <v>38.399999999997817</v>
      </c>
      <c r="G993" s="3">
        <f t="shared" si="47"/>
        <v>32.069019854221942</v>
      </c>
      <c r="H993" t="str">
        <f t="shared" si="45"/>
        <v>2026-07</v>
      </c>
      <c r="I993">
        <v>3</v>
      </c>
    </row>
    <row r="994" spans="1:9" x14ac:dyDescent="0.25">
      <c r="A994" t="s">
        <v>999</v>
      </c>
      <c r="B994">
        <v>23850.799999999999</v>
      </c>
      <c r="C994">
        <v>23871.95</v>
      </c>
      <c r="D994">
        <v>23850.799999999999</v>
      </c>
      <c r="E994">
        <v>23861.55</v>
      </c>
      <c r="F994" s="2">
        <f t="shared" si="46"/>
        <v>21.650000000001455</v>
      </c>
      <c r="G994" s="3">
        <f t="shared" si="47"/>
        <v>31.324804150349049</v>
      </c>
      <c r="H994" t="str">
        <f t="shared" si="45"/>
        <v>2026-07</v>
      </c>
      <c r="I994">
        <v>3</v>
      </c>
    </row>
    <row r="995" spans="1:9" x14ac:dyDescent="0.25">
      <c r="A995" t="s">
        <v>1000</v>
      </c>
      <c r="B995">
        <v>23861.9</v>
      </c>
      <c r="C995">
        <v>23868.1</v>
      </c>
      <c r="D995">
        <v>23849.9</v>
      </c>
      <c r="E995">
        <v>23850.95</v>
      </c>
      <c r="F995" s="2">
        <f t="shared" si="46"/>
        <v>18.19999999999709</v>
      </c>
      <c r="G995" s="3">
        <f t="shared" si="47"/>
        <v>30.387318139609622</v>
      </c>
      <c r="H995" t="str">
        <f t="shared" si="45"/>
        <v>2026-07</v>
      </c>
      <c r="I995">
        <v>3</v>
      </c>
    </row>
    <row r="996" spans="1:9" x14ac:dyDescent="0.25">
      <c r="A996" t="s">
        <v>1001</v>
      </c>
      <c r="B996">
        <v>23850.6</v>
      </c>
      <c r="C996">
        <v>23869.3</v>
      </c>
      <c r="D996">
        <v>23846.799999999999</v>
      </c>
      <c r="E996">
        <v>23859.1</v>
      </c>
      <c r="F996" s="2">
        <f t="shared" si="46"/>
        <v>22.5</v>
      </c>
      <c r="G996" s="3">
        <f t="shared" si="47"/>
        <v>29.823938272494647</v>
      </c>
      <c r="H996" t="str">
        <f t="shared" si="45"/>
        <v>2026-07</v>
      </c>
      <c r="I996">
        <v>3</v>
      </c>
    </row>
    <row r="997" spans="1:9" x14ac:dyDescent="0.25">
      <c r="A997" t="s">
        <v>1002</v>
      </c>
      <c r="B997">
        <v>23859.65</v>
      </c>
      <c r="C997">
        <v>23891.25</v>
      </c>
      <c r="D997">
        <v>23829.5</v>
      </c>
      <c r="E997">
        <v>23835.75</v>
      </c>
      <c r="F997" s="2">
        <f t="shared" si="46"/>
        <v>61.75</v>
      </c>
      <c r="G997" s="3">
        <f t="shared" si="47"/>
        <v>32.104371253030742</v>
      </c>
      <c r="H997" t="str">
        <f t="shared" si="45"/>
        <v>2026-07</v>
      </c>
      <c r="I997">
        <v>3</v>
      </c>
    </row>
    <row r="998" spans="1:9" x14ac:dyDescent="0.25">
      <c r="A998" t="s">
        <v>1003</v>
      </c>
      <c r="B998">
        <v>23836.65</v>
      </c>
      <c r="C998">
        <v>23843.3</v>
      </c>
      <c r="D998">
        <v>23807.200000000001</v>
      </c>
      <c r="E998">
        <v>23840.15</v>
      </c>
      <c r="F998" s="2">
        <f t="shared" si="46"/>
        <v>36.099999999998545</v>
      </c>
      <c r="G998" s="3">
        <f t="shared" si="47"/>
        <v>32.389773306385585</v>
      </c>
      <c r="H998" t="str">
        <f t="shared" si="45"/>
        <v>2026-07</v>
      </c>
      <c r="I998">
        <v>3</v>
      </c>
    </row>
    <row r="999" spans="1:9" x14ac:dyDescent="0.25">
      <c r="A999" t="s">
        <v>1004</v>
      </c>
      <c r="B999">
        <v>23840.35</v>
      </c>
      <c r="C999">
        <v>23880</v>
      </c>
      <c r="D999">
        <v>23830.400000000001</v>
      </c>
      <c r="E999">
        <v>23872.400000000001</v>
      </c>
      <c r="F999" s="2">
        <f t="shared" si="46"/>
        <v>49.599999999998545</v>
      </c>
      <c r="G999" s="3">
        <f t="shared" si="47"/>
        <v>33.619075213072229</v>
      </c>
      <c r="H999" t="str">
        <f t="shared" si="45"/>
        <v>2026-07</v>
      </c>
      <c r="I999">
        <v>3</v>
      </c>
    </row>
    <row r="1000" spans="1:9" x14ac:dyDescent="0.25">
      <c r="A1000" t="s">
        <v>1005</v>
      </c>
      <c r="B1000">
        <v>23873.05</v>
      </c>
      <c r="C1000">
        <v>23889.9</v>
      </c>
      <c r="D1000">
        <v>23858.55</v>
      </c>
      <c r="E1000">
        <v>23872.2</v>
      </c>
      <c r="F1000" s="2">
        <f t="shared" si="46"/>
        <v>31.350000000002183</v>
      </c>
      <c r="G1000" s="3">
        <f t="shared" si="47"/>
        <v>33.456998412138653</v>
      </c>
      <c r="H1000" t="str">
        <f t="shared" si="45"/>
        <v>2026-07</v>
      </c>
      <c r="I1000">
        <v>3</v>
      </c>
    </row>
    <row r="1001" spans="1:9" x14ac:dyDescent="0.25">
      <c r="A1001" t="s">
        <v>1006</v>
      </c>
      <c r="B1001">
        <v>23674.400000000001</v>
      </c>
      <c r="C1001">
        <v>23763.55</v>
      </c>
      <c r="D1001">
        <v>23646.9</v>
      </c>
      <c r="E1001">
        <v>23703.55</v>
      </c>
      <c r="F1001" s="2">
        <f t="shared" si="46"/>
        <v>225.29999999999927</v>
      </c>
      <c r="G1001" s="3">
        <f t="shared" si="47"/>
        <v>47.160069954128694</v>
      </c>
      <c r="H1001" t="str">
        <f t="shared" si="45"/>
        <v>2026-07</v>
      </c>
      <c r="I1001">
        <v>3</v>
      </c>
    </row>
    <row r="1002" spans="1:9" x14ac:dyDescent="0.25">
      <c r="A1002" t="s">
        <v>1007</v>
      </c>
      <c r="B1002">
        <v>23703.4</v>
      </c>
      <c r="C1002">
        <v>23713</v>
      </c>
      <c r="D1002">
        <v>23652.6</v>
      </c>
      <c r="E1002">
        <v>23656.7</v>
      </c>
      <c r="F1002" s="2">
        <f t="shared" si="46"/>
        <v>60.400000000001455</v>
      </c>
      <c r="G1002" s="3">
        <f t="shared" si="47"/>
        <v>48.105779243119606</v>
      </c>
      <c r="H1002" t="str">
        <f t="shared" si="45"/>
        <v>2026-07</v>
      </c>
      <c r="I1002">
        <v>3</v>
      </c>
    </row>
    <row r="1003" spans="1:9" x14ac:dyDescent="0.25">
      <c r="A1003" t="s">
        <v>1008</v>
      </c>
      <c r="B1003">
        <v>23657.4</v>
      </c>
      <c r="C1003">
        <v>23664.75</v>
      </c>
      <c r="D1003">
        <v>23631.35</v>
      </c>
      <c r="E1003">
        <v>23646.05</v>
      </c>
      <c r="F1003" s="2">
        <f t="shared" si="46"/>
        <v>33.400000000001455</v>
      </c>
      <c r="G1003" s="3">
        <f t="shared" si="47"/>
        <v>47.055366440039741</v>
      </c>
      <c r="H1003" t="str">
        <f t="shared" si="45"/>
        <v>2026-07</v>
      </c>
      <c r="I1003">
        <v>3</v>
      </c>
    </row>
    <row r="1004" spans="1:9" x14ac:dyDescent="0.25">
      <c r="A1004" t="s">
        <v>1009</v>
      </c>
      <c r="B1004">
        <v>23647.05</v>
      </c>
      <c r="C1004">
        <v>23648.1</v>
      </c>
      <c r="D1004">
        <v>23607.45</v>
      </c>
      <c r="E1004">
        <v>23608.7</v>
      </c>
      <c r="F1004" s="2">
        <f t="shared" si="46"/>
        <v>40.649999999997817</v>
      </c>
      <c r="G1004" s="3">
        <f t="shared" si="47"/>
        <v>46.597840265751032</v>
      </c>
      <c r="H1004" t="str">
        <f t="shared" si="45"/>
        <v>2026-07</v>
      </c>
      <c r="I1004">
        <v>3</v>
      </c>
    </row>
    <row r="1005" spans="1:9" x14ac:dyDescent="0.25">
      <c r="A1005" t="s">
        <v>1010</v>
      </c>
      <c r="B1005">
        <v>23608.3</v>
      </c>
      <c r="C1005">
        <v>23627.65</v>
      </c>
      <c r="D1005">
        <v>23606.3</v>
      </c>
      <c r="E1005">
        <v>23622.25</v>
      </c>
      <c r="F1005" s="2">
        <f t="shared" si="46"/>
        <v>21.350000000002183</v>
      </c>
      <c r="G1005" s="3">
        <f t="shared" si="47"/>
        <v>44.794423103911825</v>
      </c>
      <c r="H1005" t="str">
        <f t="shared" si="45"/>
        <v>2026-07</v>
      </c>
      <c r="I1005">
        <v>3</v>
      </c>
    </row>
    <row r="1006" spans="1:9" x14ac:dyDescent="0.25">
      <c r="A1006" t="s">
        <v>1011</v>
      </c>
      <c r="B1006">
        <v>23622.2</v>
      </c>
      <c r="C1006">
        <v>23646.05</v>
      </c>
      <c r="D1006">
        <v>23610.9</v>
      </c>
      <c r="E1006">
        <v>23640.9</v>
      </c>
      <c r="F1006" s="2">
        <f t="shared" si="46"/>
        <v>35.149999999997817</v>
      </c>
      <c r="G1006" s="3">
        <f t="shared" si="47"/>
        <v>44.105535739346536</v>
      </c>
      <c r="H1006" t="str">
        <f t="shared" si="45"/>
        <v>2026-07</v>
      </c>
      <c r="I1006">
        <v>3</v>
      </c>
    </row>
    <row r="1007" spans="1:9" x14ac:dyDescent="0.25">
      <c r="A1007" t="s">
        <v>1012</v>
      </c>
      <c r="B1007">
        <v>23640.400000000001</v>
      </c>
      <c r="C1007">
        <v>23652.25</v>
      </c>
      <c r="D1007">
        <v>23626.3</v>
      </c>
      <c r="E1007">
        <v>23627.65</v>
      </c>
      <c r="F1007" s="2">
        <f t="shared" si="46"/>
        <v>25.950000000000728</v>
      </c>
      <c r="G1007" s="3">
        <f t="shared" si="47"/>
        <v>42.808711757964694</v>
      </c>
      <c r="H1007" t="str">
        <f t="shared" si="45"/>
        <v>2026-07</v>
      </c>
      <c r="I1007">
        <v>3</v>
      </c>
    </row>
    <row r="1008" spans="1:9" x14ac:dyDescent="0.25">
      <c r="A1008" t="s">
        <v>1013</v>
      </c>
      <c r="B1008">
        <v>23627.3</v>
      </c>
      <c r="C1008">
        <v>23637.4</v>
      </c>
      <c r="D1008">
        <v>23617.1</v>
      </c>
      <c r="E1008">
        <v>23624.25</v>
      </c>
      <c r="F1008" s="2">
        <f t="shared" si="46"/>
        <v>20.30000000000291</v>
      </c>
      <c r="G1008" s="3">
        <f t="shared" si="47"/>
        <v>41.200946632395997</v>
      </c>
      <c r="H1008" t="str">
        <f t="shared" si="45"/>
        <v>2026-07</v>
      </c>
      <c r="I1008">
        <v>3</v>
      </c>
    </row>
    <row r="1009" spans="1:9" x14ac:dyDescent="0.25">
      <c r="A1009" t="s">
        <v>1014</v>
      </c>
      <c r="B1009">
        <v>23623.85</v>
      </c>
      <c r="C1009">
        <v>23678.15</v>
      </c>
      <c r="D1009">
        <v>23622.6</v>
      </c>
      <c r="E1009">
        <v>23655.7</v>
      </c>
      <c r="F1009" s="2">
        <f t="shared" si="46"/>
        <v>55.55000000000291</v>
      </c>
      <c r="G1009" s="3">
        <f t="shared" si="47"/>
        <v>42.225879015796487</v>
      </c>
      <c r="H1009" t="str">
        <f t="shared" si="45"/>
        <v>2026-07</v>
      </c>
      <c r="I1009">
        <v>3</v>
      </c>
    </row>
    <row r="1010" spans="1:9" x14ac:dyDescent="0.25">
      <c r="A1010" t="s">
        <v>1015</v>
      </c>
      <c r="B1010">
        <v>23656.15</v>
      </c>
      <c r="C1010">
        <v>23687.5</v>
      </c>
      <c r="D1010">
        <v>23649.15</v>
      </c>
      <c r="E1010">
        <v>23682.2</v>
      </c>
      <c r="F1010" s="2">
        <f t="shared" si="46"/>
        <v>38.349999999998545</v>
      </c>
      <c r="G1010" s="3">
        <f t="shared" si="47"/>
        <v>41.94903051466806</v>
      </c>
      <c r="H1010" t="str">
        <f t="shared" si="45"/>
        <v>2026-07</v>
      </c>
      <c r="I1010">
        <v>3</v>
      </c>
    </row>
    <row r="1011" spans="1:9" x14ac:dyDescent="0.25">
      <c r="A1011" t="s">
        <v>1016</v>
      </c>
      <c r="B1011">
        <v>23682.25</v>
      </c>
      <c r="C1011">
        <v>23710.7</v>
      </c>
      <c r="D1011">
        <v>23682.2</v>
      </c>
      <c r="E1011">
        <v>23696.7</v>
      </c>
      <c r="F1011" s="2">
        <f t="shared" si="46"/>
        <v>28.5</v>
      </c>
      <c r="G1011" s="3">
        <f t="shared" si="47"/>
        <v>40.98838547790605</v>
      </c>
      <c r="H1011" t="str">
        <f t="shared" si="45"/>
        <v>2026-07</v>
      </c>
      <c r="I1011">
        <v>3</v>
      </c>
    </row>
    <row r="1012" spans="1:9" x14ac:dyDescent="0.25">
      <c r="A1012" t="s">
        <v>1017</v>
      </c>
      <c r="B1012">
        <v>23697.25</v>
      </c>
      <c r="C1012">
        <v>23717.9</v>
      </c>
      <c r="D1012">
        <v>23689.25</v>
      </c>
      <c r="E1012">
        <v>23702.85</v>
      </c>
      <c r="F1012" s="2">
        <f t="shared" si="46"/>
        <v>28.650000000001455</v>
      </c>
      <c r="G1012" s="3">
        <f t="shared" si="47"/>
        <v>40.107072229484295</v>
      </c>
      <c r="H1012" t="str">
        <f t="shared" si="45"/>
        <v>2026-07</v>
      </c>
      <c r="I1012">
        <v>3</v>
      </c>
    </row>
    <row r="1013" spans="1:9" x14ac:dyDescent="0.25">
      <c r="A1013" t="s">
        <v>1018</v>
      </c>
      <c r="B1013">
        <v>23702.45</v>
      </c>
      <c r="C1013">
        <v>23792.3</v>
      </c>
      <c r="D1013">
        <v>23701.35</v>
      </c>
      <c r="E1013">
        <v>23784.25</v>
      </c>
      <c r="F1013" s="2">
        <f t="shared" si="46"/>
        <v>90.950000000000728</v>
      </c>
      <c r="G1013" s="3">
        <f t="shared" si="47"/>
        <v>43.738709927378331</v>
      </c>
      <c r="H1013" t="str">
        <f t="shared" si="45"/>
        <v>2026-07</v>
      </c>
      <c r="I1013">
        <v>3</v>
      </c>
    </row>
    <row r="1014" spans="1:9" x14ac:dyDescent="0.25">
      <c r="A1014" t="s">
        <v>1019</v>
      </c>
      <c r="B1014">
        <v>23783.8</v>
      </c>
      <c r="C1014">
        <v>23796.55</v>
      </c>
      <c r="D1014">
        <v>23756</v>
      </c>
      <c r="E1014">
        <v>23793.65</v>
      </c>
      <c r="F1014" s="2">
        <f t="shared" si="46"/>
        <v>40.549999999999272</v>
      </c>
      <c r="G1014" s="3">
        <f t="shared" si="47"/>
        <v>43.510944932565543</v>
      </c>
      <c r="H1014" t="str">
        <f t="shared" si="45"/>
        <v>2026-07</v>
      </c>
      <c r="I1014">
        <v>3</v>
      </c>
    </row>
    <row r="1015" spans="1:9" x14ac:dyDescent="0.25">
      <c r="A1015" t="s">
        <v>1020</v>
      </c>
      <c r="B1015">
        <v>23793.8</v>
      </c>
      <c r="C1015">
        <v>23808.7</v>
      </c>
      <c r="D1015">
        <v>23784.65</v>
      </c>
      <c r="E1015">
        <v>23797.5</v>
      </c>
      <c r="F1015" s="2">
        <f t="shared" si="46"/>
        <v>24.049999999999272</v>
      </c>
      <c r="G1015" s="3">
        <f t="shared" si="47"/>
        <v>42.120877437382241</v>
      </c>
      <c r="H1015" t="str">
        <f t="shared" si="45"/>
        <v>2026-07</v>
      </c>
      <c r="I1015">
        <v>3</v>
      </c>
    </row>
    <row r="1016" spans="1:9" x14ac:dyDescent="0.25">
      <c r="A1016" t="s">
        <v>1021</v>
      </c>
      <c r="B1016">
        <v>23797.35</v>
      </c>
      <c r="C1016">
        <v>23800.25</v>
      </c>
      <c r="D1016">
        <v>23763.3</v>
      </c>
      <c r="E1016">
        <v>23783.85</v>
      </c>
      <c r="F1016" s="2">
        <f t="shared" si="46"/>
        <v>36.950000000000728</v>
      </c>
      <c r="G1016" s="3">
        <f t="shared" si="47"/>
        <v>41.751529048997845</v>
      </c>
      <c r="H1016" t="str">
        <f t="shared" si="45"/>
        <v>2026-07</v>
      </c>
      <c r="I1016">
        <v>3</v>
      </c>
    </row>
    <row r="1017" spans="1:9" x14ac:dyDescent="0.25">
      <c r="A1017" t="s">
        <v>1022</v>
      </c>
      <c r="B1017">
        <v>23783.75</v>
      </c>
      <c r="C1017">
        <v>23800.05</v>
      </c>
      <c r="D1017">
        <v>23775.200000000001</v>
      </c>
      <c r="E1017">
        <v>23790.65</v>
      </c>
      <c r="F1017" s="2">
        <f t="shared" si="46"/>
        <v>24.849999999998545</v>
      </c>
      <c r="G1017" s="3">
        <f t="shared" si="47"/>
        <v>40.544276974069319</v>
      </c>
      <c r="H1017" t="str">
        <f t="shared" si="45"/>
        <v>2026-07</v>
      </c>
      <c r="I1017">
        <v>3</v>
      </c>
    </row>
    <row r="1018" spans="1:9" x14ac:dyDescent="0.25">
      <c r="A1018" t="s">
        <v>1023</v>
      </c>
      <c r="B1018">
        <v>23790.6</v>
      </c>
      <c r="C1018">
        <v>23791.65</v>
      </c>
      <c r="D1018">
        <v>23736</v>
      </c>
      <c r="E1018">
        <v>23747.75</v>
      </c>
      <c r="F1018" s="2">
        <f t="shared" si="46"/>
        <v>55.650000000001455</v>
      </c>
      <c r="G1018" s="3">
        <f t="shared" si="47"/>
        <v>41.623257190207326</v>
      </c>
      <c r="H1018" t="str">
        <f t="shared" si="45"/>
        <v>2026-07</v>
      </c>
      <c r="I1018">
        <v>3</v>
      </c>
    </row>
    <row r="1019" spans="1:9" x14ac:dyDescent="0.25">
      <c r="A1019" t="s">
        <v>1024</v>
      </c>
      <c r="B1019">
        <v>23747.9</v>
      </c>
      <c r="C1019">
        <v>23803.05</v>
      </c>
      <c r="D1019">
        <v>23742.25</v>
      </c>
      <c r="E1019">
        <v>23802.95</v>
      </c>
      <c r="F1019" s="2">
        <f t="shared" si="46"/>
        <v>60.799999999999272</v>
      </c>
      <c r="G1019" s="3">
        <f t="shared" si="47"/>
        <v>42.993024533763894</v>
      </c>
      <c r="H1019" t="str">
        <f t="shared" si="45"/>
        <v>2026-07</v>
      </c>
      <c r="I1019">
        <v>3</v>
      </c>
    </row>
    <row r="1020" spans="1:9" x14ac:dyDescent="0.25">
      <c r="A1020" t="s">
        <v>1025</v>
      </c>
      <c r="B1020">
        <v>23803.05</v>
      </c>
      <c r="C1020">
        <v>23823.599999999999</v>
      </c>
      <c r="D1020">
        <v>23788.799999999999</v>
      </c>
      <c r="E1020">
        <v>23797.4</v>
      </c>
      <c r="F1020" s="2">
        <f t="shared" si="46"/>
        <v>34.799999999999272</v>
      </c>
      <c r="G1020" s="3">
        <f t="shared" si="47"/>
        <v>42.407808495637845</v>
      </c>
      <c r="H1020" t="str">
        <f t="shared" si="45"/>
        <v>2026-07</v>
      </c>
      <c r="I1020">
        <v>3</v>
      </c>
    </row>
    <row r="1021" spans="1:9" x14ac:dyDescent="0.25">
      <c r="A1021" t="s">
        <v>1026</v>
      </c>
      <c r="B1021">
        <v>23797.5</v>
      </c>
      <c r="C1021">
        <v>23805.75</v>
      </c>
      <c r="D1021">
        <v>23770.400000000001</v>
      </c>
      <c r="E1021">
        <v>23777.65</v>
      </c>
      <c r="F1021" s="2">
        <f t="shared" si="46"/>
        <v>35.349999999998545</v>
      </c>
      <c r="G1021" s="3">
        <f t="shared" si="47"/>
        <v>41.903679317377893</v>
      </c>
      <c r="H1021" t="str">
        <f t="shared" si="45"/>
        <v>2026-07</v>
      </c>
      <c r="I1021">
        <v>3</v>
      </c>
    </row>
    <row r="1022" spans="1:9" x14ac:dyDescent="0.25">
      <c r="A1022" t="s">
        <v>1027</v>
      </c>
      <c r="B1022">
        <v>23777.35</v>
      </c>
      <c r="C1022">
        <v>23783.3</v>
      </c>
      <c r="D1022">
        <v>23760.2</v>
      </c>
      <c r="E1022">
        <v>23768.400000000001</v>
      </c>
      <c r="F1022" s="2">
        <f t="shared" si="46"/>
        <v>23.099999999998545</v>
      </c>
      <c r="G1022" s="3">
        <f t="shared" si="47"/>
        <v>40.560559366136509</v>
      </c>
      <c r="H1022" t="str">
        <f t="shared" si="45"/>
        <v>2026-07</v>
      </c>
      <c r="I1022">
        <v>3</v>
      </c>
    </row>
    <row r="1023" spans="1:9" x14ac:dyDescent="0.25">
      <c r="A1023" t="s">
        <v>1028</v>
      </c>
      <c r="B1023">
        <v>23768.1</v>
      </c>
      <c r="C1023">
        <v>23794.15</v>
      </c>
      <c r="D1023">
        <v>23761.85</v>
      </c>
      <c r="E1023">
        <v>23776.799999999999</v>
      </c>
      <c r="F1023" s="2">
        <f t="shared" si="46"/>
        <v>32.30000000000291</v>
      </c>
      <c r="G1023" s="3">
        <f t="shared" si="47"/>
        <v>39.970519411412681</v>
      </c>
      <c r="H1023" t="str">
        <f t="shared" si="45"/>
        <v>2026-07</v>
      </c>
      <c r="I1023">
        <v>3</v>
      </c>
    </row>
    <row r="1024" spans="1:9" x14ac:dyDescent="0.25">
      <c r="A1024" t="s">
        <v>1029</v>
      </c>
      <c r="B1024">
        <v>23777.95</v>
      </c>
      <c r="C1024">
        <v>23782.45</v>
      </c>
      <c r="D1024">
        <v>23747.65</v>
      </c>
      <c r="E1024">
        <v>23771.9</v>
      </c>
      <c r="F1024" s="2">
        <f t="shared" si="46"/>
        <v>34.799999999999272</v>
      </c>
      <c r="G1024" s="3">
        <f t="shared" si="47"/>
        <v>39.601196596311716</v>
      </c>
      <c r="H1024" t="str">
        <f t="shared" si="45"/>
        <v>2026-07</v>
      </c>
      <c r="I1024">
        <v>3</v>
      </c>
    </row>
    <row r="1025" spans="1:9" x14ac:dyDescent="0.25">
      <c r="A1025" t="s">
        <v>1030</v>
      </c>
      <c r="B1025">
        <v>23771.45</v>
      </c>
      <c r="C1025">
        <v>23792.95</v>
      </c>
      <c r="D1025">
        <v>23767.45</v>
      </c>
      <c r="E1025">
        <v>23787</v>
      </c>
      <c r="F1025" s="2">
        <f t="shared" si="46"/>
        <v>25.5</v>
      </c>
      <c r="G1025" s="3">
        <f t="shared" si="47"/>
        <v>38.593968268003735</v>
      </c>
      <c r="H1025" t="str">
        <f t="shared" si="45"/>
        <v>2026-07</v>
      </c>
      <c r="I1025">
        <v>3</v>
      </c>
    </row>
    <row r="1026" spans="1:9" x14ac:dyDescent="0.25">
      <c r="A1026" t="s">
        <v>1031</v>
      </c>
      <c r="B1026">
        <v>23930.05</v>
      </c>
      <c r="C1026">
        <v>23964.5</v>
      </c>
      <c r="D1026">
        <v>23896.7</v>
      </c>
      <c r="E1026">
        <v>23939.95</v>
      </c>
      <c r="F1026" s="2">
        <f t="shared" si="46"/>
        <v>177.5</v>
      </c>
      <c r="G1026" s="3">
        <f t="shared" si="47"/>
        <v>48.515827677432036</v>
      </c>
      <c r="H1026" t="str">
        <f t="shared" ref="H1026:H1089" si="48">LEFT(A1026,7)</f>
        <v>2026-07</v>
      </c>
      <c r="I1026">
        <v>3</v>
      </c>
    </row>
    <row r="1027" spans="1:9" x14ac:dyDescent="0.25">
      <c r="A1027" t="s">
        <v>1032</v>
      </c>
      <c r="B1027">
        <v>23941.8</v>
      </c>
      <c r="C1027">
        <v>23952.3</v>
      </c>
      <c r="D1027">
        <v>23927.75</v>
      </c>
      <c r="E1027">
        <v>23951.05</v>
      </c>
      <c r="F1027" s="2">
        <f t="shared" ref="F1027:F1090" si="49">MAX(C1027-D1027,ABS(C1027-E1026),ABS(D1027-E1026))</f>
        <v>24.549999999999272</v>
      </c>
      <c r="G1027" s="3">
        <f t="shared" si="47"/>
        <v>46.803982843329699</v>
      </c>
      <c r="H1027" t="str">
        <f t="shared" si="48"/>
        <v>2026-07</v>
      </c>
      <c r="I1027">
        <v>3</v>
      </c>
    </row>
    <row r="1028" spans="1:9" x14ac:dyDescent="0.25">
      <c r="A1028" t="s">
        <v>1033</v>
      </c>
      <c r="B1028">
        <v>23952.1</v>
      </c>
      <c r="C1028">
        <v>23955.9</v>
      </c>
      <c r="D1028">
        <v>23916.799999999999</v>
      </c>
      <c r="E1028">
        <v>23933.85</v>
      </c>
      <c r="F1028" s="2">
        <f t="shared" si="49"/>
        <v>39.100000000002183</v>
      </c>
      <c r="G1028" s="3">
        <f t="shared" si="47"/>
        <v>46.253698354520587</v>
      </c>
      <c r="H1028" t="str">
        <f t="shared" si="48"/>
        <v>2026-07</v>
      </c>
      <c r="I1028">
        <v>3</v>
      </c>
    </row>
    <row r="1029" spans="1:9" x14ac:dyDescent="0.25">
      <c r="A1029" t="s">
        <v>1034</v>
      </c>
      <c r="B1029">
        <v>23933.35</v>
      </c>
      <c r="C1029">
        <v>23934.9</v>
      </c>
      <c r="D1029">
        <v>23909</v>
      </c>
      <c r="E1029">
        <v>23933.3</v>
      </c>
      <c r="F1029" s="2">
        <f t="shared" si="49"/>
        <v>25.900000000001455</v>
      </c>
      <c r="G1029" s="3">
        <f t="shared" si="47"/>
        <v>44.799862757769219</v>
      </c>
      <c r="H1029" t="str">
        <f t="shared" si="48"/>
        <v>2026-07</v>
      </c>
      <c r="I1029">
        <v>3</v>
      </c>
    </row>
    <row r="1030" spans="1:9" x14ac:dyDescent="0.25">
      <c r="A1030" t="s">
        <v>1035</v>
      </c>
      <c r="B1030">
        <v>23934</v>
      </c>
      <c r="C1030">
        <v>23935.75</v>
      </c>
      <c r="D1030">
        <v>23908.75</v>
      </c>
      <c r="E1030">
        <v>23915.200000000001</v>
      </c>
      <c r="F1030" s="2">
        <f t="shared" si="49"/>
        <v>27</v>
      </c>
      <c r="G1030" s="3">
        <f t="shared" si="47"/>
        <v>43.528443989357129</v>
      </c>
      <c r="H1030" t="str">
        <f t="shared" si="48"/>
        <v>2026-07</v>
      </c>
      <c r="I1030">
        <v>3</v>
      </c>
    </row>
    <row r="1031" spans="1:9" x14ac:dyDescent="0.25">
      <c r="A1031" t="s">
        <v>1036</v>
      </c>
      <c r="B1031">
        <v>23917.05</v>
      </c>
      <c r="C1031">
        <v>23927.65</v>
      </c>
      <c r="D1031">
        <v>23891.55</v>
      </c>
      <c r="E1031">
        <v>23925.3</v>
      </c>
      <c r="F1031" s="2">
        <f t="shared" si="49"/>
        <v>36.100000000002183</v>
      </c>
      <c r="G1031" s="3">
        <f t="shared" si="47"/>
        <v>42.997840847260349</v>
      </c>
      <c r="H1031" t="str">
        <f t="shared" si="48"/>
        <v>2026-07</v>
      </c>
      <c r="I1031">
        <v>3</v>
      </c>
    </row>
    <row r="1032" spans="1:9" x14ac:dyDescent="0.25">
      <c r="A1032" t="s">
        <v>1037</v>
      </c>
      <c r="B1032">
        <v>23927.25</v>
      </c>
      <c r="C1032">
        <v>23939.3</v>
      </c>
      <c r="D1032">
        <v>23907.8</v>
      </c>
      <c r="E1032">
        <v>23933.45</v>
      </c>
      <c r="F1032" s="2">
        <f t="shared" si="49"/>
        <v>31.5</v>
      </c>
      <c r="G1032" s="3">
        <f t="shared" si="47"/>
        <v>42.176566501027466</v>
      </c>
      <c r="H1032" t="str">
        <f t="shared" si="48"/>
        <v>2026-07</v>
      </c>
      <c r="I1032">
        <v>3</v>
      </c>
    </row>
    <row r="1033" spans="1:9" x14ac:dyDescent="0.25">
      <c r="A1033" t="s">
        <v>1038</v>
      </c>
      <c r="B1033">
        <v>23935.599999999999</v>
      </c>
      <c r="C1033">
        <v>23938.400000000001</v>
      </c>
      <c r="D1033">
        <v>23920</v>
      </c>
      <c r="E1033">
        <v>23924.75</v>
      </c>
      <c r="F1033" s="2">
        <f t="shared" si="49"/>
        <v>18.400000000001455</v>
      </c>
      <c r="G1033" s="3">
        <f t="shared" si="47"/>
        <v>40.478240322382753</v>
      </c>
      <c r="H1033" t="str">
        <f t="shared" si="48"/>
        <v>2026-07</v>
      </c>
      <c r="I1033">
        <v>3</v>
      </c>
    </row>
    <row r="1034" spans="1:9" x14ac:dyDescent="0.25">
      <c r="A1034" t="s">
        <v>1039</v>
      </c>
      <c r="B1034">
        <v>23926</v>
      </c>
      <c r="C1034">
        <v>23968.55</v>
      </c>
      <c r="D1034">
        <v>23923.35</v>
      </c>
      <c r="E1034">
        <v>23961.9</v>
      </c>
      <c r="F1034" s="2">
        <f t="shared" si="49"/>
        <v>45.200000000000728</v>
      </c>
      <c r="G1034" s="3">
        <f t="shared" si="47"/>
        <v>40.815508870784036</v>
      </c>
      <c r="H1034" t="str">
        <f t="shared" si="48"/>
        <v>2026-07</v>
      </c>
      <c r="I1034">
        <v>3</v>
      </c>
    </row>
    <row r="1035" spans="1:9" x14ac:dyDescent="0.25">
      <c r="A1035" t="s">
        <v>1040</v>
      </c>
      <c r="B1035">
        <v>23963.55</v>
      </c>
      <c r="C1035">
        <v>23972</v>
      </c>
      <c r="D1035">
        <v>23956.3</v>
      </c>
      <c r="E1035">
        <v>23963.55</v>
      </c>
      <c r="F1035" s="2">
        <f t="shared" si="49"/>
        <v>15.700000000000728</v>
      </c>
      <c r="G1035" s="3">
        <f t="shared" si="47"/>
        <v>39.021543951442368</v>
      </c>
      <c r="H1035" t="str">
        <f t="shared" si="48"/>
        <v>2026-07</v>
      </c>
      <c r="I1035">
        <v>3</v>
      </c>
    </row>
    <row r="1036" spans="1:9" x14ac:dyDescent="0.25">
      <c r="A1036" t="s">
        <v>1041</v>
      </c>
      <c r="B1036">
        <v>23966.05</v>
      </c>
      <c r="C1036">
        <v>23972.799999999999</v>
      </c>
      <c r="D1036">
        <v>23949.1</v>
      </c>
      <c r="E1036">
        <v>23963.4</v>
      </c>
      <c r="F1036" s="2">
        <f t="shared" si="49"/>
        <v>23.700000000000728</v>
      </c>
      <c r="G1036" s="3">
        <f t="shared" si="47"/>
        <v>37.927147954910822</v>
      </c>
      <c r="H1036" t="str">
        <f t="shared" si="48"/>
        <v>2026-07</v>
      </c>
      <c r="I1036">
        <v>3</v>
      </c>
    </row>
    <row r="1037" spans="1:9" x14ac:dyDescent="0.25">
      <c r="A1037" t="s">
        <v>1042</v>
      </c>
      <c r="B1037">
        <v>23965.7</v>
      </c>
      <c r="C1037">
        <v>23967.4</v>
      </c>
      <c r="D1037">
        <v>23945.599999999999</v>
      </c>
      <c r="E1037">
        <v>23956.2</v>
      </c>
      <c r="F1037" s="2">
        <f t="shared" si="49"/>
        <v>21.80000000000291</v>
      </c>
      <c r="G1037" s="3">
        <f t="shared" si="47"/>
        <v>36.775208815274546</v>
      </c>
      <c r="H1037" t="str">
        <f t="shared" si="48"/>
        <v>2026-07</v>
      </c>
      <c r="I1037">
        <v>3</v>
      </c>
    </row>
    <row r="1038" spans="1:9" x14ac:dyDescent="0.25">
      <c r="A1038" t="s">
        <v>1043</v>
      </c>
      <c r="B1038">
        <v>23959.05</v>
      </c>
      <c r="C1038">
        <v>23965.8</v>
      </c>
      <c r="D1038">
        <v>23952.9</v>
      </c>
      <c r="E1038">
        <v>23954.75</v>
      </c>
      <c r="F1038" s="2">
        <f t="shared" si="49"/>
        <v>12.899999999997817</v>
      </c>
      <c r="G1038" s="3">
        <f t="shared" si="47"/>
        <v>35.069836757040498</v>
      </c>
      <c r="H1038" t="str">
        <f t="shared" si="48"/>
        <v>2026-07</v>
      </c>
      <c r="I1038">
        <v>3</v>
      </c>
    </row>
    <row r="1039" spans="1:9" x14ac:dyDescent="0.25">
      <c r="A1039" t="s">
        <v>1044</v>
      </c>
      <c r="B1039">
        <v>23956.9</v>
      </c>
      <c r="C1039">
        <v>23967.3</v>
      </c>
      <c r="D1039">
        <v>23943.05</v>
      </c>
      <c r="E1039">
        <v>23951.200000000001</v>
      </c>
      <c r="F1039" s="2">
        <f t="shared" si="49"/>
        <v>24.25</v>
      </c>
      <c r="G1039" s="3">
        <f t="shared" si="47"/>
        <v>34.296991274394749</v>
      </c>
      <c r="H1039" t="str">
        <f t="shared" si="48"/>
        <v>2026-07</v>
      </c>
      <c r="I1039">
        <v>3</v>
      </c>
    </row>
    <row r="1040" spans="1:9" x14ac:dyDescent="0.25">
      <c r="A1040" t="s">
        <v>1045</v>
      </c>
      <c r="B1040">
        <v>23952.55</v>
      </c>
      <c r="C1040">
        <v>23958.05</v>
      </c>
      <c r="D1040">
        <v>23943.75</v>
      </c>
      <c r="E1040">
        <v>23953.9</v>
      </c>
      <c r="F1040" s="2">
        <f t="shared" si="49"/>
        <v>14.299999999999272</v>
      </c>
      <c r="G1040" s="3">
        <f t="shared" ref="G1040:G1103" si="50">(G1039*13+F1040)/14</f>
        <v>32.868634754795075</v>
      </c>
      <c r="H1040" t="str">
        <f t="shared" si="48"/>
        <v>2026-07</v>
      </c>
      <c r="I1040">
        <v>3</v>
      </c>
    </row>
    <row r="1041" spans="1:9" x14ac:dyDescent="0.25">
      <c r="A1041" t="s">
        <v>1046</v>
      </c>
      <c r="B1041">
        <v>23955.85</v>
      </c>
      <c r="C1041">
        <v>23970.799999999999</v>
      </c>
      <c r="D1041">
        <v>23948.2</v>
      </c>
      <c r="E1041">
        <v>23970.1</v>
      </c>
      <c r="F1041" s="2">
        <f t="shared" si="49"/>
        <v>22.599999999998545</v>
      </c>
      <c r="G1041" s="3">
        <f t="shared" si="50"/>
        <v>32.135160843738177</v>
      </c>
      <c r="H1041" t="str">
        <f t="shared" si="48"/>
        <v>2026-07</v>
      </c>
      <c r="I1041">
        <v>3</v>
      </c>
    </row>
    <row r="1042" spans="1:9" x14ac:dyDescent="0.25">
      <c r="A1042" t="s">
        <v>1047</v>
      </c>
      <c r="B1042">
        <v>23971.9</v>
      </c>
      <c r="C1042">
        <v>23979.4</v>
      </c>
      <c r="D1042">
        <v>23954.3</v>
      </c>
      <c r="E1042">
        <v>23954.55</v>
      </c>
      <c r="F1042" s="2">
        <f t="shared" si="49"/>
        <v>25.100000000002183</v>
      </c>
      <c r="G1042" s="3">
        <f t="shared" si="50"/>
        <v>31.63264935489989</v>
      </c>
      <c r="H1042" t="str">
        <f t="shared" si="48"/>
        <v>2026-07</v>
      </c>
      <c r="I1042">
        <v>3</v>
      </c>
    </row>
    <row r="1043" spans="1:9" x14ac:dyDescent="0.25">
      <c r="A1043" t="s">
        <v>1048</v>
      </c>
      <c r="B1043">
        <v>23956.25</v>
      </c>
      <c r="C1043">
        <v>23960.85</v>
      </c>
      <c r="D1043">
        <v>23935.4</v>
      </c>
      <c r="E1043">
        <v>23956.25</v>
      </c>
      <c r="F1043" s="2">
        <f t="shared" si="49"/>
        <v>25.44999999999709</v>
      </c>
      <c r="G1043" s="3">
        <f t="shared" si="50"/>
        <v>31.191031543835404</v>
      </c>
      <c r="H1043" t="str">
        <f t="shared" si="48"/>
        <v>2026-07</v>
      </c>
      <c r="I1043">
        <v>3</v>
      </c>
    </row>
    <row r="1044" spans="1:9" x14ac:dyDescent="0.25">
      <c r="A1044" t="s">
        <v>1049</v>
      </c>
      <c r="B1044">
        <v>23958.25</v>
      </c>
      <c r="C1044">
        <v>23972.400000000001</v>
      </c>
      <c r="D1044">
        <v>23953.25</v>
      </c>
      <c r="E1044">
        <v>23971.35</v>
      </c>
      <c r="F1044" s="2">
        <f t="shared" si="49"/>
        <v>19.150000000001455</v>
      </c>
      <c r="G1044" s="3">
        <f t="shared" si="50"/>
        <v>30.33095786213298</v>
      </c>
      <c r="H1044" t="str">
        <f t="shared" si="48"/>
        <v>2026-07</v>
      </c>
      <c r="I1044">
        <v>3</v>
      </c>
    </row>
    <row r="1045" spans="1:9" x14ac:dyDescent="0.25">
      <c r="A1045" t="s">
        <v>1050</v>
      </c>
      <c r="B1045">
        <v>23973.599999999999</v>
      </c>
      <c r="C1045">
        <v>23998.35</v>
      </c>
      <c r="D1045">
        <v>23970.5</v>
      </c>
      <c r="E1045">
        <v>23995.9</v>
      </c>
      <c r="F1045" s="2">
        <f t="shared" si="49"/>
        <v>27.849999999998545</v>
      </c>
      <c r="G1045" s="3">
        <f t="shared" si="50"/>
        <v>30.153746586266234</v>
      </c>
      <c r="H1045" t="str">
        <f t="shared" si="48"/>
        <v>2026-07</v>
      </c>
      <c r="I1045">
        <v>3</v>
      </c>
    </row>
    <row r="1046" spans="1:9" x14ac:dyDescent="0.25">
      <c r="A1046" t="s">
        <v>1051</v>
      </c>
      <c r="B1046">
        <v>23997.55</v>
      </c>
      <c r="C1046">
        <v>24009.75</v>
      </c>
      <c r="D1046">
        <v>23984.55</v>
      </c>
      <c r="E1046">
        <v>24006.7</v>
      </c>
      <c r="F1046" s="2">
        <f t="shared" si="49"/>
        <v>25.200000000000728</v>
      </c>
      <c r="G1046" s="3">
        <f t="shared" si="50"/>
        <v>29.799907544390127</v>
      </c>
      <c r="H1046" t="str">
        <f t="shared" si="48"/>
        <v>2026-07</v>
      </c>
      <c r="I1046">
        <v>3</v>
      </c>
    </row>
    <row r="1047" spans="1:9" x14ac:dyDescent="0.25">
      <c r="A1047" t="s">
        <v>1052</v>
      </c>
      <c r="B1047">
        <v>24008.65</v>
      </c>
      <c r="C1047">
        <v>24011.599999999999</v>
      </c>
      <c r="D1047">
        <v>23988.3</v>
      </c>
      <c r="E1047">
        <v>23996.25</v>
      </c>
      <c r="F1047" s="2">
        <f t="shared" si="49"/>
        <v>23.299999999999272</v>
      </c>
      <c r="G1047" s="3">
        <f t="shared" si="50"/>
        <v>29.335628434076494</v>
      </c>
      <c r="H1047" t="str">
        <f t="shared" si="48"/>
        <v>2026-07</v>
      </c>
      <c r="I1047">
        <v>3</v>
      </c>
    </row>
    <row r="1048" spans="1:9" x14ac:dyDescent="0.25">
      <c r="A1048" t="s">
        <v>1053</v>
      </c>
      <c r="B1048">
        <v>23997.65</v>
      </c>
      <c r="C1048">
        <v>24003.5</v>
      </c>
      <c r="D1048">
        <v>23984.1</v>
      </c>
      <c r="E1048">
        <v>23989.15</v>
      </c>
      <c r="F1048" s="2">
        <f t="shared" si="49"/>
        <v>19.400000000001455</v>
      </c>
      <c r="G1048" s="3">
        <f t="shared" si="50"/>
        <v>28.62594068878542</v>
      </c>
      <c r="H1048" t="str">
        <f t="shared" si="48"/>
        <v>2026-07</v>
      </c>
      <c r="I1048">
        <v>3</v>
      </c>
    </row>
    <row r="1049" spans="1:9" x14ac:dyDescent="0.25">
      <c r="A1049" t="s">
        <v>1054</v>
      </c>
      <c r="B1049">
        <v>23989.55</v>
      </c>
      <c r="C1049">
        <v>24001.75</v>
      </c>
      <c r="D1049">
        <v>23986.400000000001</v>
      </c>
      <c r="E1049">
        <v>23987.15</v>
      </c>
      <c r="F1049" s="2">
        <f t="shared" si="49"/>
        <v>15.349999999998545</v>
      </c>
      <c r="G1049" s="3">
        <f t="shared" si="50"/>
        <v>27.67765921101493</v>
      </c>
      <c r="H1049" t="str">
        <f t="shared" si="48"/>
        <v>2026-07</v>
      </c>
      <c r="I1049">
        <v>3</v>
      </c>
    </row>
    <row r="1050" spans="1:9" x14ac:dyDescent="0.25">
      <c r="A1050" t="s">
        <v>1055</v>
      </c>
      <c r="B1050">
        <v>23985.1</v>
      </c>
      <c r="C1050">
        <v>24008.1</v>
      </c>
      <c r="D1050">
        <v>23985.1</v>
      </c>
      <c r="E1050">
        <v>24003.65</v>
      </c>
      <c r="F1050" s="2">
        <f t="shared" si="49"/>
        <v>23</v>
      </c>
      <c r="G1050" s="3">
        <f t="shared" si="50"/>
        <v>27.343540695942437</v>
      </c>
      <c r="H1050" t="str">
        <f t="shared" si="48"/>
        <v>2026-07</v>
      </c>
      <c r="I1050">
        <v>3</v>
      </c>
    </row>
    <row r="1051" spans="1:9" x14ac:dyDescent="0.25">
      <c r="A1051" t="s">
        <v>1056</v>
      </c>
      <c r="B1051">
        <v>23978.45</v>
      </c>
      <c r="C1051">
        <v>24040.9</v>
      </c>
      <c r="D1051">
        <v>23968.15</v>
      </c>
      <c r="E1051">
        <v>24006.799999999999</v>
      </c>
      <c r="F1051" s="2">
        <f t="shared" si="49"/>
        <v>72.75</v>
      </c>
      <c r="G1051" s="3">
        <f t="shared" si="50"/>
        <v>30.586859217660837</v>
      </c>
      <c r="H1051" t="str">
        <f t="shared" si="48"/>
        <v>2026-07</v>
      </c>
      <c r="I1051">
        <v>3</v>
      </c>
    </row>
    <row r="1052" spans="1:9" x14ac:dyDescent="0.25">
      <c r="A1052" t="s">
        <v>1057</v>
      </c>
      <c r="B1052">
        <v>24006.25</v>
      </c>
      <c r="C1052">
        <v>24025.200000000001</v>
      </c>
      <c r="D1052">
        <v>23985.75</v>
      </c>
      <c r="E1052">
        <v>24017.95</v>
      </c>
      <c r="F1052" s="2">
        <f t="shared" si="49"/>
        <v>39.450000000000728</v>
      </c>
      <c r="G1052" s="3">
        <f t="shared" si="50"/>
        <v>31.219940702113686</v>
      </c>
      <c r="H1052" t="str">
        <f t="shared" si="48"/>
        <v>2026-07</v>
      </c>
      <c r="I1052">
        <v>3</v>
      </c>
    </row>
    <row r="1053" spans="1:9" x14ac:dyDescent="0.25">
      <c r="A1053" t="s">
        <v>1058</v>
      </c>
      <c r="B1053">
        <v>24018.05</v>
      </c>
      <c r="C1053">
        <v>24019.9</v>
      </c>
      <c r="D1053">
        <v>23995.25</v>
      </c>
      <c r="E1053">
        <v>24011.35</v>
      </c>
      <c r="F1053" s="2">
        <f t="shared" si="49"/>
        <v>24.650000000001455</v>
      </c>
      <c r="G1053" s="3">
        <f t="shared" si="50"/>
        <v>30.750659223391384</v>
      </c>
      <c r="H1053" t="str">
        <f t="shared" si="48"/>
        <v>2026-07</v>
      </c>
      <c r="I1053">
        <v>3</v>
      </c>
    </row>
    <row r="1054" spans="1:9" x14ac:dyDescent="0.25">
      <c r="A1054" t="s">
        <v>1059</v>
      </c>
      <c r="B1054">
        <v>24012.25</v>
      </c>
      <c r="C1054">
        <v>24013.55</v>
      </c>
      <c r="D1054">
        <v>23961.95</v>
      </c>
      <c r="E1054">
        <v>23986.25</v>
      </c>
      <c r="F1054" s="2">
        <f t="shared" si="49"/>
        <v>51.599999999998545</v>
      </c>
      <c r="G1054" s="3">
        <f t="shared" si="50"/>
        <v>32.239897850291896</v>
      </c>
      <c r="H1054" t="str">
        <f t="shared" si="48"/>
        <v>2026-07</v>
      </c>
      <c r="I1054">
        <v>3</v>
      </c>
    </row>
    <row r="1055" spans="1:9" x14ac:dyDescent="0.25">
      <c r="A1055" t="s">
        <v>1060</v>
      </c>
      <c r="B1055">
        <v>23985.599999999999</v>
      </c>
      <c r="C1055">
        <v>24006.1</v>
      </c>
      <c r="D1055">
        <v>23984.799999999999</v>
      </c>
      <c r="E1055">
        <v>23985.85</v>
      </c>
      <c r="F1055" s="2">
        <f t="shared" si="49"/>
        <v>21.299999999999272</v>
      </c>
      <c r="G1055" s="3">
        <f t="shared" si="50"/>
        <v>31.458476575270993</v>
      </c>
      <c r="H1055" t="str">
        <f t="shared" si="48"/>
        <v>2026-07</v>
      </c>
      <c r="I1055">
        <v>3</v>
      </c>
    </row>
    <row r="1056" spans="1:9" x14ac:dyDescent="0.25">
      <c r="A1056" t="s">
        <v>1061</v>
      </c>
      <c r="B1056">
        <v>23986.55</v>
      </c>
      <c r="C1056">
        <v>24023.35</v>
      </c>
      <c r="D1056">
        <v>23986.2</v>
      </c>
      <c r="E1056">
        <v>24019.75</v>
      </c>
      <c r="F1056" s="2">
        <f t="shared" si="49"/>
        <v>37.5</v>
      </c>
      <c r="G1056" s="3">
        <f t="shared" si="50"/>
        <v>31.890013962751635</v>
      </c>
      <c r="H1056" t="str">
        <f t="shared" si="48"/>
        <v>2026-07</v>
      </c>
      <c r="I1056">
        <v>3</v>
      </c>
    </row>
    <row r="1057" spans="1:9" x14ac:dyDescent="0.25">
      <c r="A1057" t="s">
        <v>1062</v>
      </c>
      <c r="B1057">
        <v>24020.1</v>
      </c>
      <c r="C1057">
        <v>24041.15</v>
      </c>
      <c r="D1057">
        <v>24020</v>
      </c>
      <c r="E1057">
        <v>24036.2</v>
      </c>
      <c r="F1057" s="2">
        <f t="shared" si="49"/>
        <v>21.400000000001455</v>
      </c>
      <c r="G1057" s="3">
        <f t="shared" si="50"/>
        <v>31.140727251126624</v>
      </c>
      <c r="H1057" t="str">
        <f t="shared" si="48"/>
        <v>2026-07</v>
      </c>
      <c r="I1057">
        <v>3</v>
      </c>
    </row>
    <row r="1058" spans="1:9" x14ac:dyDescent="0.25">
      <c r="A1058" t="s">
        <v>1063</v>
      </c>
      <c r="B1058">
        <v>24035.75</v>
      </c>
      <c r="C1058">
        <v>24039.55</v>
      </c>
      <c r="D1058">
        <v>24010.05</v>
      </c>
      <c r="E1058">
        <v>24014.6</v>
      </c>
      <c r="F1058" s="2">
        <f t="shared" si="49"/>
        <v>29.5</v>
      </c>
      <c r="G1058" s="3">
        <f t="shared" si="50"/>
        <v>31.023532447474725</v>
      </c>
      <c r="H1058" t="str">
        <f t="shared" si="48"/>
        <v>2026-07</v>
      </c>
      <c r="I1058">
        <v>3</v>
      </c>
    </row>
    <row r="1059" spans="1:9" x14ac:dyDescent="0.25">
      <c r="A1059" t="s">
        <v>1064</v>
      </c>
      <c r="B1059">
        <v>24015.200000000001</v>
      </c>
      <c r="C1059">
        <v>24029.8</v>
      </c>
      <c r="D1059">
        <v>24010.65</v>
      </c>
      <c r="E1059">
        <v>24014</v>
      </c>
      <c r="F1059" s="2">
        <f t="shared" si="49"/>
        <v>19.149999999997817</v>
      </c>
      <c r="G1059" s="3">
        <f t="shared" si="50"/>
        <v>30.175422986940664</v>
      </c>
      <c r="H1059" t="str">
        <f t="shared" si="48"/>
        <v>2026-07</v>
      </c>
      <c r="I1059">
        <v>3</v>
      </c>
    </row>
    <row r="1060" spans="1:9" x14ac:dyDescent="0.25">
      <c r="A1060" t="s">
        <v>1065</v>
      </c>
      <c r="B1060">
        <v>24013.9</v>
      </c>
      <c r="C1060">
        <v>24025.05</v>
      </c>
      <c r="D1060">
        <v>23999.95</v>
      </c>
      <c r="E1060">
        <v>24021.05</v>
      </c>
      <c r="F1060" s="2">
        <f t="shared" si="49"/>
        <v>25.099999999998545</v>
      </c>
      <c r="G1060" s="3">
        <f t="shared" si="50"/>
        <v>29.812892773587656</v>
      </c>
      <c r="H1060" t="str">
        <f t="shared" si="48"/>
        <v>2026-07</v>
      </c>
      <c r="I1060">
        <v>3</v>
      </c>
    </row>
    <row r="1061" spans="1:9" x14ac:dyDescent="0.25">
      <c r="A1061" t="s">
        <v>1066</v>
      </c>
      <c r="B1061">
        <v>24021.200000000001</v>
      </c>
      <c r="C1061">
        <v>24036.799999999999</v>
      </c>
      <c r="D1061">
        <v>24003.65</v>
      </c>
      <c r="E1061">
        <v>24011.35</v>
      </c>
      <c r="F1061" s="2">
        <f t="shared" si="49"/>
        <v>33.149999999997817</v>
      </c>
      <c r="G1061" s="3">
        <f t="shared" si="50"/>
        <v>30.051257575474096</v>
      </c>
      <c r="H1061" t="str">
        <f t="shared" si="48"/>
        <v>2026-07</v>
      </c>
      <c r="I1061">
        <v>3</v>
      </c>
    </row>
    <row r="1062" spans="1:9" x14ac:dyDescent="0.25">
      <c r="A1062" t="s">
        <v>1067</v>
      </c>
      <c r="B1062">
        <v>24011</v>
      </c>
      <c r="C1062">
        <v>24028.6</v>
      </c>
      <c r="D1062">
        <v>24003.75</v>
      </c>
      <c r="E1062">
        <v>24026.5</v>
      </c>
      <c r="F1062" s="2">
        <f t="shared" si="49"/>
        <v>24.849999999998545</v>
      </c>
      <c r="G1062" s="3">
        <f t="shared" si="50"/>
        <v>29.679739177225844</v>
      </c>
      <c r="H1062" t="str">
        <f t="shared" si="48"/>
        <v>2026-07</v>
      </c>
      <c r="I1062">
        <v>3</v>
      </c>
    </row>
    <row r="1063" spans="1:9" x14ac:dyDescent="0.25">
      <c r="A1063" t="s">
        <v>1068</v>
      </c>
      <c r="B1063">
        <v>24026.25</v>
      </c>
      <c r="C1063">
        <v>24028.9</v>
      </c>
      <c r="D1063">
        <v>24010.85</v>
      </c>
      <c r="E1063">
        <v>24023.35</v>
      </c>
      <c r="F1063" s="2">
        <f t="shared" si="49"/>
        <v>18.05000000000291</v>
      </c>
      <c r="G1063" s="3">
        <f t="shared" si="50"/>
        <v>28.84904352170992</v>
      </c>
      <c r="H1063" t="str">
        <f t="shared" si="48"/>
        <v>2026-07</v>
      </c>
      <c r="I1063">
        <v>3</v>
      </c>
    </row>
    <row r="1064" spans="1:9" x14ac:dyDescent="0.25">
      <c r="A1064" t="s">
        <v>1069</v>
      </c>
      <c r="B1064">
        <v>24023.5</v>
      </c>
      <c r="C1064">
        <v>24027.25</v>
      </c>
      <c r="D1064">
        <v>24009.4</v>
      </c>
      <c r="E1064">
        <v>24015.55</v>
      </c>
      <c r="F1064" s="2">
        <f t="shared" si="49"/>
        <v>17.849999999998545</v>
      </c>
      <c r="G1064" s="3">
        <f t="shared" si="50"/>
        <v>28.063397555873394</v>
      </c>
      <c r="H1064" t="str">
        <f t="shared" si="48"/>
        <v>2026-07</v>
      </c>
      <c r="I1064">
        <v>3</v>
      </c>
    </row>
    <row r="1065" spans="1:9" x14ac:dyDescent="0.25">
      <c r="A1065" t="s">
        <v>1070</v>
      </c>
      <c r="B1065">
        <v>24015.65</v>
      </c>
      <c r="C1065">
        <v>24022</v>
      </c>
      <c r="D1065">
        <v>24003.9</v>
      </c>
      <c r="E1065">
        <v>24003.9</v>
      </c>
      <c r="F1065" s="2">
        <f t="shared" si="49"/>
        <v>18.099999999998545</v>
      </c>
      <c r="G1065" s="3">
        <f t="shared" si="50"/>
        <v>27.351726301882334</v>
      </c>
      <c r="H1065" t="str">
        <f t="shared" si="48"/>
        <v>2026-07</v>
      </c>
      <c r="I1065">
        <v>3</v>
      </c>
    </row>
    <row r="1066" spans="1:9" x14ac:dyDescent="0.25">
      <c r="A1066" t="s">
        <v>1071</v>
      </c>
      <c r="B1066">
        <v>24004.05</v>
      </c>
      <c r="C1066">
        <v>24008.75</v>
      </c>
      <c r="D1066">
        <v>23982.9</v>
      </c>
      <c r="E1066">
        <v>23983.1</v>
      </c>
      <c r="F1066" s="2">
        <f t="shared" si="49"/>
        <v>25.849999999998545</v>
      </c>
      <c r="G1066" s="3">
        <f t="shared" si="50"/>
        <v>27.244460137462063</v>
      </c>
      <c r="H1066" t="str">
        <f t="shared" si="48"/>
        <v>2026-07</v>
      </c>
      <c r="I1066">
        <v>3</v>
      </c>
    </row>
    <row r="1067" spans="1:9" x14ac:dyDescent="0.25">
      <c r="A1067" t="s">
        <v>1072</v>
      </c>
      <c r="B1067">
        <v>23983.05</v>
      </c>
      <c r="C1067">
        <v>23993.7</v>
      </c>
      <c r="D1067">
        <v>23968.65</v>
      </c>
      <c r="E1067">
        <v>23985.599999999999</v>
      </c>
      <c r="F1067" s="2">
        <f t="shared" si="49"/>
        <v>25.049999999999272</v>
      </c>
      <c r="G1067" s="3">
        <f t="shared" si="50"/>
        <v>27.087712984786151</v>
      </c>
      <c r="H1067" t="str">
        <f t="shared" si="48"/>
        <v>2026-07</v>
      </c>
      <c r="I1067">
        <v>3</v>
      </c>
    </row>
    <row r="1068" spans="1:9" x14ac:dyDescent="0.25">
      <c r="A1068" t="s">
        <v>1073</v>
      </c>
      <c r="B1068">
        <v>23984.85</v>
      </c>
      <c r="C1068">
        <v>23993.1</v>
      </c>
      <c r="D1068">
        <v>23977.4</v>
      </c>
      <c r="E1068">
        <v>23983.35</v>
      </c>
      <c r="F1068" s="2">
        <f t="shared" si="49"/>
        <v>15.69999999999709</v>
      </c>
      <c r="G1068" s="3">
        <f t="shared" si="50"/>
        <v>26.274304914444077</v>
      </c>
      <c r="H1068" t="str">
        <f t="shared" si="48"/>
        <v>2026-07</v>
      </c>
      <c r="I1068">
        <v>3</v>
      </c>
    </row>
    <row r="1069" spans="1:9" x14ac:dyDescent="0.25">
      <c r="A1069" t="s">
        <v>1074</v>
      </c>
      <c r="B1069">
        <v>23983.3</v>
      </c>
      <c r="C1069">
        <v>24011.75</v>
      </c>
      <c r="D1069">
        <v>23972.400000000001</v>
      </c>
      <c r="E1069">
        <v>24002</v>
      </c>
      <c r="F1069" s="2">
        <f t="shared" si="49"/>
        <v>39.349999999998545</v>
      </c>
      <c r="G1069" s="3">
        <f t="shared" si="50"/>
        <v>27.208283134840826</v>
      </c>
      <c r="H1069" t="str">
        <f t="shared" si="48"/>
        <v>2026-07</v>
      </c>
      <c r="I1069">
        <v>3</v>
      </c>
    </row>
    <row r="1070" spans="1:9" x14ac:dyDescent="0.25">
      <c r="A1070" t="s">
        <v>1075</v>
      </c>
      <c r="B1070">
        <v>24001.9</v>
      </c>
      <c r="C1070">
        <v>24005.9</v>
      </c>
      <c r="D1070">
        <v>23989.75</v>
      </c>
      <c r="E1070">
        <v>23993.7</v>
      </c>
      <c r="F1070" s="2">
        <f t="shared" si="49"/>
        <v>16.150000000001455</v>
      </c>
      <c r="G1070" s="3">
        <f t="shared" si="50"/>
        <v>26.418405768066584</v>
      </c>
      <c r="H1070" t="str">
        <f t="shared" si="48"/>
        <v>2026-07</v>
      </c>
      <c r="I1070">
        <v>3</v>
      </c>
    </row>
    <row r="1071" spans="1:9" x14ac:dyDescent="0.25">
      <c r="A1071" t="s">
        <v>1076</v>
      </c>
      <c r="B1071">
        <v>23993.35</v>
      </c>
      <c r="C1071">
        <v>24001.25</v>
      </c>
      <c r="D1071">
        <v>23985</v>
      </c>
      <c r="E1071">
        <v>23988.5</v>
      </c>
      <c r="F1071" s="2">
        <f t="shared" si="49"/>
        <v>16.25</v>
      </c>
      <c r="G1071" s="3">
        <f t="shared" si="50"/>
        <v>25.692091070347544</v>
      </c>
      <c r="H1071" t="str">
        <f t="shared" si="48"/>
        <v>2026-07</v>
      </c>
      <c r="I1071">
        <v>3</v>
      </c>
    </row>
    <row r="1072" spans="1:9" x14ac:dyDescent="0.25">
      <c r="A1072" t="s">
        <v>1077</v>
      </c>
      <c r="B1072">
        <v>23987.55</v>
      </c>
      <c r="C1072">
        <v>23998.5</v>
      </c>
      <c r="D1072">
        <v>23970.1</v>
      </c>
      <c r="E1072">
        <v>23996.2</v>
      </c>
      <c r="F1072" s="2">
        <f t="shared" si="49"/>
        <v>28.400000000001455</v>
      </c>
      <c r="G1072" s="3">
        <f t="shared" si="50"/>
        <v>25.885513136751396</v>
      </c>
      <c r="H1072" t="str">
        <f t="shared" si="48"/>
        <v>2026-07</v>
      </c>
      <c r="I1072">
        <v>3</v>
      </c>
    </row>
    <row r="1073" spans="1:9" x14ac:dyDescent="0.25">
      <c r="A1073" t="s">
        <v>1078</v>
      </c>
      <c r="B1073">
        <v>23995.35</v>
      </c>
      <c r="C1073">
        <v>23995.45</v>
      </c>
      <c r="D1073">
        <v>23968.1</v>
      </c>
      <c r="E1073">
        <v>23980.95</v>
      </c>
      <c r="F1073" s="2">
        <f t="shared" si="49"/>
        <v>28.100000000002183</v>
      </c>
      <c r="G1073" s="3">
        <f t="shared" si="50"/>
        <v>26.043690769840737</v>
      </c>
      <c r="H1073" t="str">
        <f t="shared" si="48"/>
        <v>2026-07</v>
      </c>
      <c r="I1073">
        <v>3</v>
      </c>
    </row>
    <row r="1074" spans="1:9" x14ac:dyDescent="0.25">
      <c r="A1074" t="s">
        <v>1079</v>
      </c>
      <c r="B1074">
        <v>23980.9</v>
      </c>
      <c r="C1074">
        <v>23985.15</v>
      </c>
      <c r="D1074">
        <v>23954.6</v>
      </c>
      <c r="E1074">
        <v>23969.4</v>
      </c>
      <c r="F1074" s="2">
        <f t="shared" si="49"/>
        <v>30.55000000000291</v>
      </c>
      <c r="G1074" s="3">
        <f t="shared" si="50"/>
        <v>26.365570000566606</v>
      </c>
      <c r="H1074" t="str">
        <f t="shared" si="48"/>
        <v>2026-07</v>
      </c>
      <c r="I1074">
        <v>3</v>
      </c>
    </row>
    <row r="1075" spans="1:9" x14ac:dyDescent="0.25">
      <c r="A1075" t="s">
        <v>1080</v>
      </c>
      <c r="B1075">
        <v>23969</v>
      </c>
      <c r="C1075">
        <v>24013.35</v>
      </c>
      <c r="D1075">
        <v>23968.7</v>
      </c>
      <c r="E1075">
        <v>23983.95</v>
      </c>
      <c r="F1075" s="2">
        <f t="shared" si="49"/>
        <v>44.649999999997817</v>
      </c>
      <c r="G1075" s="3">
        <f t="shared" si="50"/>
        <v>27.671600714811692</v>
      </c>
      <c r="H1075" t="str">
        <f t="shared" si="48"/>
        <v>2026-07</v>
      </c>
      <c r="I1075">
        <v>3</v>
      </c>
    </row>
    <row r="1076" spans="1:9" x14ac:dyDescent="0.25">
      <c r="A1076" t="s">
        <v>1081</v>
      </c>
      <c r="B1076">
        <v>24188.799999999999</v>
      </c>
      <c r="C1076">
        <v>24203.200000000001</v>
      </c>
      <c r="D1076">
        <v>24136.75</v>
      </c>
      <c r="E1076">
        <v>24178.5</v>
      </c>
      <c r="F1076" s="2">
        <f t="shared" si="49"/>
        <v>219.25</v>
      </c>
      <c r="G1076" s="3">
        <f t="shared" si="50"/>
        <v>41.355772092325147</v>
      </c>
      <c r="H1076" t="str">
        <f t="shared" si="48"/>
        <v>2026-07</v>
      </c>
      <c r="I1076">
        <v>3</v>
      </c>
    </row>
    <row r="1077" spans="1:9" x14ac:dyDescent="0.25">
      <c r="A1077" t="s">
        <v>1082</v>
      </c>
      <c r="B1077">
        <v>24175.599999999999</v>
      </c>
      <c r="C1077">
        <v>24217.9</v>
      </c>
      <c r="D1077">
        <v>24175.599999999999</v>
      </c>
      <c r="E1077">
        <v>24212.2</v>
      </c>
      <c r="F1077" s="2">
        <f t="shared" si="49"/>
        <v>42.30000000000291</v>
      </c>
      <c r="G1077" s="3">
        <f t="shared" si="50"/>
        <v>41.423216942873559</v>
      </c>
      <c r="H1077" t="str">
        <f t="shared" si="48"/>
        <v>2026-07</v>
      </c>
      <c r="I1077">
        <v>3</v>
      </c>
    </row>
    <row r="1078" spans="1:9" x14ac:dyDescent="0.25">
      <c r="A1078" t="s">
        <v>1083</v>
      </c>
      <c r="B1078">
        <v>24211.85</v>
      </c>
      <c r="C1078">
        <v>24221.7</v>
      </c>
      <c r="D1078">
        <v>24184.95</v>
      </c>
      <c r="E1078">
        <v>24187.65</v>
      </c>
      <c r="F1078" s="2">
        <f t="shared" si="49"/>
        <v>36.75</v>
      </c>
      <c r="G1078" s="3">
        <f t="shared" si="50"/>
        <v>41.089415732668307</v>
      </c>
      <c r="H1078" t="str">
        <f t="shared" si="48"/>
        <v>2026-07</v>
      </c>
      <c r="I1078">
        <v>3</v>
      </c>
    </row>
    <row r="1079" spans="1:9" x14ac:dyDescent="0.25">
      <c r="A1079" t="s">
        <v>1084</v>
      </c>
      <c r="B1079">
        <v>24186.3</v>
      </c>
      <c r="C1079">
        <v>24224.25</v>
      </c>
      <c r="D1079">
        <v>24186.3</v>
      </c>
      <c r="E1079">
        <v>24221.3</v>
      </c>
      <c r="F1079" s="2">
        <f t="shared" si="49"/>
        <v>37.950000000000728</v>
      </c>
      <c r="G1079" s="3">
        <f t="shared" si="50"/>
        <v>40.865171751763476</v>
      </c>
      <c r="H1079" t="str">
        <f t="shared" si="48"/>
        <v>2026-07</v>
      </c>
      <c r="I1079">
        <v>3</v>
      </c>
    </row>
    <row r="1080" spans="1:9" x14ac:dyDescent="0.25">
      <c r="A1080" t="s">
        <v>1085</v>
      </c>
      <c r="B1080">
        <v>24220.9</v>
      </c>
      <c r="C1080">
        <v>24235.5</v>
      </c>
      <c r="D1080">
        <v>24214</v>
      </c>
      <c r="E1080">
        <v>24225.3</v>
      </c>
      <c r="F1080" s="2">
        <f t="shared" si="49"/>
        <v>21.5</v>
      </c>
      <c r="G1080" s="3">
        <f t="shared" si="50"/>
        <v>39.481945198066079</v>
      </c>
      <c r="H1080" t="str">
        <f t="shared" si="48"/>
        <v>2026-07</v>
      </c>
      <c r="I1080">
        <v>3</v>
      </c>
    </row>
    <row r="1081" spans="1:9" x14ac:dyDescent="0.25">
      <c r="A1081" t="s">
        <v>1086</v>
      </c>
      <c r="B1081">
        <v>24224.75</v>
      </c>
      <c r="C1081">
        <v>24238.45</v>
      </c>
      <c r="D1081">
        <v>24221.75</v>
      </c>
      <c r="E1081">
        <v>24233.8</v>
      </c>
      <c r="F1081" s="2">
        <f t="shared" si="49"/>
        <v>16.700000000000728</v>
      </c>
      <c r="G1081" s="3">
        <f t="shared" si="50"/>
        <v>37.854663398204266</v>
      </c>
      <c r="H1081" t="str">
        <f t="shared" si="48"/>
        <v>2026-07</v>
      </c>
      <c r="I1081">
        <v>3</v>
      </c>
    </row>
    <row r="1082" spans="1:9" x14ac:dyDescent="0.25">
      <c r="A1082" t="s">
        <v>1087</v>
      </c>
      <c r="B1082">
        <v>24233.7</v>
      </c>
      <c r="C1082">
        <v>24234.05</v>
      </c>
      <c r="D1082">
        <v>24213.4</v>
      </c>
      <c r="E1082">
        <v>24220.65</v>
      </c>
      <c r="F1082" s="2">
        <f t="shared" si="49"/>
        <v>20.649999999997817</v>
      </c>
      <c r="G1082" s="3">
        <f t="shared" si="50"/>
        <v>36.625758869760944</v>
      </c>
      <c r="H1082" t="str">
        <f t="shared" si="48"/>
        <v>2026-07</v>
      </c>
      <c r="I1082">
        <v>3</v>
      </c>
    </row>
    <row r="1083" spans="1:9" x14ac:dyDescent="0.25">
      <c r="A1083" t="s">
        <v>1088</v>
      </c>
      <c r="B1083">
        <v>24221.200000000001</v>
      </c>
      <c r="C1083">
        <v>24244.55</v>
      </c>
      <c r="D1083">
        <v>24215.25</v>
      </c>
      <c r="E1083">
        <v>24233.7</v>
      </c>
      <c r="F1083" s="2">
        <f t="shared" si="49"/>
        <v>29.299999999999272</v>
      </c>
      <c r="G1083" s="3">
        <f t="shared" si="50"/>
        <v>36.102490379063681</v>
      </c>
      <c r="H1083" t="str">
        <f t="shared" si="48"/>
        <v>2026-07</v>
      </c>
      <c r="I1083">
        <v>3</v>
      </c>
    </row>
    <row r="1084" spans="1:9" x14ac:dyDescent="0.25">
      <c r="A1084" t="s">
        <v>1089</v>
      </c>
      <c r="B1084">
        <v>24233.3</v>
      </c>
      <c r="C1084">
        <v>24241.35</v>
      </c>
      <c r="D1084">
        <v>24223.35</v>
      </c>
      <c r="E1084">
        <v>24232.400000000001</v>
      </c>
      <c r="F1084" s="2">
        <f t="shared" si="49"/>
        <v>18</v>
      </c>
      <c r="G1084" s="3">
        <f t="shared" si="50"/>
        <v>34.809455351987701</v>
      </c>
      <c r="H1084" t="str">
        <f t="shared" si="48"/>
        <v>2026-07</v>
      </c>
      <c r="I1084">
        <v>3</v>
      </c>
    </row>
    <row r="1085" spans="1:9" x14ac:dyDescent="0.25">
      <c r="A1085" t="s">
        <v>1090</v>
      </c>
      <c r="B1085">
        <v>24232.15</v>
      </c>
      <c r="C1085">
        <v>24237.1</v>
      </c>
      <c r="D1085">
        <v>24218.75</v>
      </c>
      <c r="E1085">
        <v>24232.25</v>
      </c>
      <c r="F1085" s="2">
        <f t="shared" si="49"/>
        <v>18.349999999998545</v>
      </c>
      <c r="G1085" s="3">
        <f t="shared" si="50"/>
        <v>33.633779969702758</v>
      </c>
      <c r="H1085" t="str">
        <f t="shared" si="48"/>
        <v>2026-07</v>
      </c>
      <c r="I1085">
        <v>3</v>
      </c>
    </row>
    <row r="1086" spans="1:9" x14ac:dyDescent="0.25">
      <c r="A1086" t="s">
        <v>1091</v>
      </c>
      <c r="B1086">
        <v>24232.5</v>
      </c>
      <c r="C1086">
        <v>24240.35</v>
      </c>
      <c r="D1086">
        <v>24219.8</v>
      </c>
      <c r="E1086">
        <v>24225.65</v>
      </c>
      <c r="F1086" s="2">
        <f t="shared" si="49"/>
        <v>20.549999999999272</v>
      </c>
      <c r="G1086" s="3">
        <f t="shared" si="50"/>
        <v>32.699224257581079</v>
      </c>
      <c r="H1086" t="str">
        <f t="shared" si="48"/>
        <v>2026-07</v>
      </c>
      <c r="I1086">
        <v>3</v>
      </c>
    </row>
    <row r="1087" spans="1:9" x14ac:dyDescent="0.25">
      <c r="A1087" t="s">
        <v>1092</v>
      </c>
      <c r="B1087">
        <v>24225.85</v>
      </c>
      <c r="C1087">
        <v>24247.8</v>
      </c>
      <c r="D1087">
        <v>24223.25</v>
      </c>
      <c r="E1087">
        <v>24238.45</v>
      </c>
      <c r="F1087" s="2">
        <f t="shared" si="49"/>
        <v>24.549999999999272</v>
      </c>
      <c r="G1087" s="3">
        <f t="shared" si="50"/>
        <v>32.117136810610951</v>
      </c>
      <c r="H1087" t="str">
        <f t="shared" si="48"/>
        <v>2026-07</v>
      </c>
      <c r="I1087">
        <v>3</v>
      </c>
    </row>
    <row r="1088" spans="1:9" x14ac:dyDescent="0.25">
      <c r="A1088" t="s">
        <v>1093</v>
      </c>
      <c r="B1088">
        <v>24238.799999999999</v>
      </c>
      <c r="C1088">
        <v>24240.400000000001</v>
      </c>
      <c r="D1088">
        <v>24219.7</v>
      </c>
      <c r="E1088">
        <v>24221.5</v>
      </c>
      <c r="F1088" s="2">
        <f t="shared" si="49"/>
        <v>20.700000000000728</v>
      </c>
      <c r="G1088" s="3">
        <f t="shared" si="50"/>
        <v>31.301627038424506</v>
      </c>
      <c r="H1088" t="str">
        <f t="shared" si="48"/>
        <v>2026-07</v>
      </c>
      <c r="I1088">
        <v>3</v>
      </c>
    </row>
    <row r="1089" spans="1:9" x14ac:dyDescent="0.25">
      <c r="A1089" t="s">
        <v>1094</v>
      </c>
      <c r="B1089">
        <v>24222.1</v>
      </c>
      <c r="C1089">
        <v>24234.95</v>
      </c>
      <c r="D1089">
        <v>24218.9</v>
      </c>
      <c r="E1089">
        <v>24220.799999999999</v>
      </c>
      <c r="F1089" s="2">
        <f t="shared" si="49"/>
        <v>16.049999999999272</v>
      </c>
      <c r="G1089" s="3">
        <f t="shared" si="50"/>
        <v>30.21222510710842</v>
      </c>
      <c r="H1089" t="str">
        <f t="shared" si="48"/>
        <v>2026-07</v>
      </c>
      <c r="I1089">
        <v>3</v>
      </c>
    </row>
    <row r="1090" spans="1:9" x14ac:dyDescent="0.25">
      <c r="A1090" t="s">
        <v>1095</v>
      </c>
      <c r="B1090">
        <v>24221.45</v>
      </c>
      <c r="C1090">
        <v>24231.45</v>
      </c>
      <c r="D1090">
        <v>24209.95</v>
      </c>
      <c r="E1090">
        <v>24228.75</v>
      </c>
      <c r="F1090" s="2">
        <f t="shared" si="49"/>
        <v>21.5</v>
      </c>
      <c r="G1090" s="3">
        <f t="shared" si="50"/>
        <v>29.589923313743533</v>
      </c>
      <c r="H1090" t="str">
        <f t="shared" ref="H1090:H1153" si="51">LEFT(A1090,7)</f>
        <v>2026-07</v>
      </c>
      <c r="I1090">
        <v>3</v>
      </c>
    </row>
    <row r="1091" spans="1:9" x14ac:dyDescent="0.25">
      <c r="A1091" t="s">
        <v>1096</v>
      </c>
      <c r="B1091">
        <v>24228.85</v>
      </c>
      <c r="C1091">
        <v>24261.45</v>
      </c>
      <c r="D1091">
        <v>24228.65</v>
      </c>
      <c r="E1091">
        <v>24257.55</v>
      </c>
      <c r="F1091" s="2">
        <f t="shared" ref="F1091:F1154" si="52">MAX(C1091-D1091,ABS(C1091-E1090),ABS(D1091-E1090))</f>
        <v>32.799999999999272</v>
      </c>
      <c r="G1091" s="3">
        <f t="shared" si="50"/>
        <v>29.819214505618941</v>
      </c>
      <c r="H1091" t="str">
        <f t="shared" si="51"/>
        <v>2026-07</v>
      </c>
      <c r="I1091">
        <v>3</v>
      </c>
    </row>
    <row r="1092" spans="1:9" x14ac:dyDescent="0.25">
      <c r="A1092" t="s">
        <v>1097</v>
      </c>
      <c r="B1092">
        <v>24257.4</v>
      </c>
      <c r="C1092">
        <v>24259.9</v>
      </c>
      <c r="D1092">
        <v>24244.55</v>
      </c>
      <c r="E1092">
        <v>24245.8</v>
      </c>
      <c r="F1092" s="2">
        <f t="shared" si="52"/>
        <v>15.350000000002183</v>
      </c>
      <c r="G1092" s="3">
        <f t="shared" si="50"/>
        <v>28.785699183789173</v>
      </c>
      <c r="H1092" t="str">
        <f t="shared" si="51"/>
        <v>2026-07</v>
      </c>
      <c r="I1092">
        <v>3</v>
      </c>
    </row>
    <row r="1093" spans="1:9" x14ac:dyDescent="0.25">
      <c r="A1093" t="s">
        <v>1098</v>
      </c>
      <c r="B1093">
        <v>24245.75</v>
      </c>
      <c r="C1093">
        <v>24256.85</v>
      </c>
      <c r="D1093">
        <v>24236</v>
      </c>
      <c r="E1093">
        <v>24238.400000000001</v>
      </c>
      <c r="F1093" s="2">
        <f t="shared" si="52"/>
        <v>20.849999999998545</v>
      </c>
      <c r="G1093" s="3">
        <f t="shared" si="50"/>
        <v>28.218863527804128</v>
      </c>
      <c r="H1093" t="str">
        <f t="shared" si="51"/>
        <v>2026-07</v>
      </c>
      <c r="I1093">
        <v>3</v>
      </c>
    </row>
    <row r="1094" spans="1:9" x14ac:dyDescent="0.25">
      <c r="A1094" t="s">
        <v>1099</v>
      </c>
      <c r="B1094">
        <v>24236.2</v>
      </c>
      <c r="C1094">
        <v>24259.95</v>
      </c>
      <c r="D1094">
        <v>24235.65</v>
      </c>
      <c r="E1094">
        <v>24250.5</v>
      </c>
      <c r="F1094" s="2">
        <f t="shared" si="52"/>
        <v>24.299999999999272</v>
      </c>
      <c r="G1094" s="3">
        <f t="shared" si="50"/>
        <v>27.938944704389495</v>
      </c>
      <c r="H1094" t="str">
        <f t="shared" si="51"/>
        <v>2026-07</v>
      </c>
      <c r="I1094">
        <v>3</v>
      </c>
    </row>
    <row r="1095" spans="1:9" x14ac:dyDescent="0.25">
      <c r="A1095" t="s">
        <v>1100</v>
      </c>
      <c r="B1095">
        <v>24249.75</v>
      </c>
      <c r="C1095">
        <v>24272.15</v>
      </c>
      <c r="D1095">
        <v>24249.75</v>
      </c>
      <c r="E1095">
        <v>24263.8</v>
      </c>
      <c r="F1095" s="2">
        <f t="shared" si="52"/>
        <v>22.400000000001455</v>
      </c>
      <c r="G1095" s="3">
        <f t="shared" si="50"/>
        <v>27.543305796933204</v>
      </c>
      <c r="H1095" t="str">
        <f t="shared" si="51"/>
        <v>2026-07</v>
      </c>
      <c r="I1095">
        <v>3</v>
      </c>
    </row>
    <row r="1096" spans="1:9" x14ac:dyDescent="0.25">
      <c r="A1096" t="s">
        <v>1101</v>
      </c>
      <c r="B1096">
        <v>24264.3</v>
      </c>
      <c r="C1096">
        <v>24278.7</v>
      </c>
      <c r="D1096">
        <v>24263.3</v>
      </c>
      <c r="E1096">
        <v>24272.65</v>
      </c>
      <c r="F1096" s="2">
        <f t="shared" si="52"/>
        <v>15.400000000001455</v>
      </c>
      <c r="G1096" s="3">
        <f t="shared" si="50"/>
        <v>26.675926811438078</v>
      </c>
      <c r="H1096" t="str">
        <f t="shared" si="51"/>
        <v>2026-07</v>
      </c>
      <c r="I1096">
        <v>3</v>
      </c>
    </row>
    <row r="1097" spans="1:9" x14ac:dyDescent="0.25">
      <c r="A1097" t="s">
        <v>1102</v>
      </c>
      <c r="B1097">
        <v>24272.1</v>
      </c>
      <c r="C1097">
        <v>24279</v>
      </c>
      <c r="D1097">
        <v>24251.45</v>
      </c>
      <c r="E1097">
        <v>24259.599999999999</v>
      </c>
      <c r="F1097" s="2">
        <f t="shared" si="52"/>
        <v>27.549999999999272</v>
      </c>
      <c r="G1097" s="3">
        <f t="shared" si="50"/>
        <v>26.738360610621019</v>
      </c>
      <c r="H1097" t="str">
        <f t="shared" si="51"/>
        <v>2026-07</v>
      </c>
      <c r="I1097">
        <v>3</v>
      </c>
    </row>
    <row r="1098" spans="1:9" x14ac:dyDescent="0.25">
      <c r="A1098" t="s">
        <v>1103</v>
      </c>
      <c r="B1098">
        <v>24259.65</v>
      </c>
      <c r="C1098">
        <v>24283.55</v>
      </c>
      <c r="D1098">
        <v>24259.65</v>
      </c>
      <c r="E1098">
        <v>24272.5</v>
      </c>
      <c r="F1098" s="2">
        <f t="shared" si="52"/>
        <v>23.950000000000728</v>
      </c>
      <c r="G1098" s="3">
        <f t="shared" si="50"/>
        <v>26.539191995576711</v>
      </c>
      <c r="H1098" t="str">
        <f t="shared" si="51"/>
        <v>2026-07</v>
      </c>
      <c r="I1098">
        <v>3</v>
      </c>
    </row>
    <row r="1099" spans="1:9" x14ac:dyDescent="0.25">
      <c r="A1099" t="s">
        <v>1104</v>
      </c>
      <c r="B1099">
        <v>24274.400000000001</v>
      </c>
      <c r="C1099">
        <v>24278.55</v>
      </c>
      <c r="D1099">
        <v>24249.7</v>
      </c>
      <c r="E1099">
        <v>24252</v>
      </c>
      <c r="F1099" s="2">
        <f t="shared" si="52"/>
        <v>28.849999999998545</v>
      </c>
      <c r="G1099" s="3">
        <f t="shared" si="50"/>
        <v>26.704249710178271</v>
      </c>
      <c r="H1099" t="str">
        <f t="shared" si="51"/>
        <v>2026-07</v>
      </c>
      <c r="I1099">
        <v>3</v>
      </c>
    </row>
    <row r="1100" spans="1:9" x14ac:dyDescent="0.25">
      <c r="A1100" t="s">
        <v>1105</v>
      </c>
      <c r="B1100">
        <v>24251.45</v>
      </c>
      <c r="C1100">
        <v>24251.9</v>
      </c>
      <c r="D1100">
        <v>24231.05</v>
      </c>
      <c r="E1100">
        <v>24242</v>
      </c>
      <c r="F1100" s="2">
        <f t="shared" si="52"/>
        <v>20.950000000000728</v>
      </c>
      <c r="G1100" s="3">
        <f t="shared" si="50"/>
        <v>26.293231873737017</v>
      </c>
      <c r="H1100" t="str">
        <f t="shared" si="51"/>
        <v>2026-07</v>
      </c>
      <c r="I1100">
        <v>3</v>
      </c>
    </row>
    <row r="1101" spans="1:9" x14ac:dyDescent="0.25">
      <c r="A1101" t="s">
        <v>1106</v>
      </c>
      <c r="B1101">
        <v>24249.5</v>
      </c>
      <c r="C1101">
        <v>24280.5</v>
      </c>
      <c r="D1101">
        <v>24187.1</v>
      </c>
      <c r="E1101">
        <v>24276.95</v>
      </c>
      <c r="F1101" s="2">
        <f t="shared" si="52"/>
        <v>93.400000000001455</v>
      </c>
      <c r="G1101" s="3">
        <f t="shared" si="50"/>
        <v>31.086572454184477</v>
      </c>
      <c r="H1101" t="str">
        <f t="shared" si="51"/>
        <v>2026-07</v>
      </c>
      <c r="I1101">
        <v>3</v>
      </c>
    </row>
    <row r="1102" spans="1:9" x14ac:dyDescent="0.25">
      <c r="A1102" t="s">
        <v>1107</v>
      </c>
      <c r="B1102">
        <v>24274.5</v>
      </c>
      <c r="C1102">
        <v>24287.25</v>
      </c>
      <c r="D1102">
        <v>24245.8</v>
      </c>
      <c r="E1102">
        <v>24255.85</v>
      </c>
      <c r="F1102" s="2">
        <f t="shared" si="52"/>
        <v>41.450000000000728</v>
      </c>
      <c r="G1102" s="3">
        <f t="shared" si="50"/>
        <v>31.826817278885638</v>
      </c>
      <c r="H1102" t="str">
        <f t="shared" si="51"/>
        <v>2026-07</v>
      </c>
      <c r="I1102">
        <v>3</v>
      </c>
    </row>
    <row r="1103" spans="1:9" x14ac:dyDescent="0.25">
      <c r="A1103" t="s">
        <v>1108</v>
      </c>
      <c r="B1103">
        <v>24257.25</v>
      </c>
      <c r="C1103">
        <v>24285.55</v>
      </c>
      <c r="D1103">
        <v>24250.05</v>
      </c>
      <c r="E1103">
        <v>24275.599999999999</v>
      </c>
      <c r="F1103" s="2">
        <f t="shared" si="52"/>
        <v>35.5</v>
      </c>
      <c r="G1103" s="3">
        <f t="shared" si="50"/>
        <v>32.089187473250952</v>
      </c>
      <c r="H1103" t="str">
        <f t="shared" si="51"/>
        <v>2026-07</v>
      </c>
      <c r="I1103">
        <v>3</v>
      </c>
    </row>
    <row r="1104" spans="1:9" x14ac:dyDescent="0.25">
      <c r="A1104" t="s">
        <v>1109</v>
      </c>
      <c r="B1104">
        <v>24276.75</v>
      </c>
      <c r="C1104">
        <v>24281.3</v>
      </c>
      <c r="D1104">
        <v>24241.5</v>
      </c>
      <c r="E1104">
        <v>24243.5</v>
      </c>
      <c r="F1104" s="2">
        <f t="shared" si="52"/>
        <v>39.799999999999272</v>
      </c>
      <c r="G1104" s="3">
        <f t="shared" ref="G1104:G1167" si="53">(G1103*13+F1104)/14</f>
        <v>32.639959796590119</v>
      </c>
      <c r="H1104" t="str">
        <f t="shared" si="51"/>
        <v>2026-07</v>
      </c>
      <c r="I1104">
        <v>3</v>
      </c>
    </row>
    <row r="1105" spans="1:9" x14ac:dyDescent="0.25">
      <c r="A1105" t="s">
        <v>1110</v>
      </c>
      <c r="B1105">
        <v>24243.75</v>
      </c>
      <c r="C1105">
        <v>24261.15</v>
      </c>
      <c r="D1105">
        <v>24231.15</v>
      </c>
      <c r="E1105">
        <v>24232.1</v>
      </c>
      <c r="F1105" s="2">
        <f t="shared" si="52"/>
        <v>30</v>
      </c>
      <c r="G1105" s="3">
        <f t="shared" si="53"/>
        <v>32.451391239690828</v>
      </c>
      <c r="H1105" t="str">
        <f t="shared" si="51"/>
        <v>2026-07</v>
      </c>
      <c r="I1105">
        <v>3</v>
      </c>
    </row>
    <row r="1106" spans="1:9" x14ac:dyDescent="0.25">
      <c r="A1106" t="s">
        <v>1111</v>
      </c>
      <c r="B1106">
        <v>24232.75</v>
      </c>
      <c r="C1106">
        <v>24261.35</v>
      </c>
      <c r="D1106">
        <v>24224.85</v>
      </c>
      <c r="E1106">
        <v>24259.15</v>
      </c>
      <c r="F1106" s="2">
        <f t="shared" si="52"/>
        <v>36.5</v>
      </c>
      <c r="G1106" s="3">
        <f t="shared" si="53"/>
        <v>32.740577579712912</v>
      </c>
      <c r="H1106" t="str">
        <f t="shared" si="51"/>
        <v>2026-07</v>
      </c>
      <c r="I1106">
        <v>3</v>
      </c>
    </row>
    <row r="1107" spans="1:9" x14ac:dyDescent="0.25">
      <c r="A1107" t="s">
        <v>1112</v>
      </c>
      <c r="B1107">
        <v>24260.25</v>
      </c>
      <c r="C1107">
        <v>24270.65</v>
      </c>
      <c r="D1107">
        <v>24253.200000000001</v>
      </c>
      <c r="E1107">
        <v>24256.9</v>
      </c>
      <c r="F1107" s="2">
        <f t="shared" si="52"/>
        <v>17.450000000000728</v>
      </c>
      <c r="G1107" s="3">
        <f t="shared" si="53"/>
        <v>31.648393466876325</v>
      </c>
      <c r="H1107" t="str">
        <f t="shared" si="51"/>
        <v>2026-07</v>
      </c>
      <c r="I1107">
        <v>3</v>
      </c>
    </row>
    <row r="1108" spans="1:9" x14ac:dyDescent="0.25">
      <c r="A1108" t="s">
        <v>1113</v>
      </c>
      <c r="B1108">
        <v>24256.45</v>
      </c>
      <c r="C1108">
        <v>24270.55</v>
      </c>
      <c r="D1108">
        <v>24248.15</v>
      </c>
      <c r="E1108">
        <v>24265.05</v>
      </c>
      <c r="F1108" s="2">
        <f t="shared" si="52"/>
        <v>22.399999999997817</v>
      </c>
      <c r="G1108" s="3">
        <f t="shared" si="53"/>
        <v>30.987793933527858</v>
      </c>
      <c r="H1108" t="str">
        <f t="shared" si="51"/>
        <v>2026-07</v>
      </c>
      <c r="I1108">
        <v>3</v>
      </c>
    </row>
    <row r="1109" spans="1:9" x14ac:dyDescent="0.25">
      <c r="A1109" t="s">
        <v>1114</v>
      </c>
      <c r="B1109">
        <v>24264.9</v>
      </c>
      <c r="C1109">
        <v>24282.5</v>
      </c>
      <c r="D1109">
        <v>24262.1</v>
      </c>
      <c r="E1109">
        <v>24274.6</v>
      </c>
      <c r="F1109" s="2">
        <f t="shared" si="52"/>
        <v>20.400000000001455</v>
      </c>
      <c r="G1109" s="3">
        <f t="shared" si="53"/>
        <v>30.231522938275969</v>
      </c>
      <c r="H1109" t="str">
        <f t="shared" si="51"/>
        <v>2026-07</v>
      </c>
      <c r="I1109">
        <v>3</v>
      </c>
    </row>
    <row r="1110" spans="1:9" x14ac:dyDescent="0.25">
      <c r="A1110" t="s">
        <v>1115</v>
      </c>
      <c r="B1110">
        <v>24274.2</v>
      </c>
      <c r="C1110">
        <v>24279.45</v>
      </c>
      <c r="D1110">
        <v>24264.85</v>
      </c>
      <c r="E1110">
        <v>24265.5</v>
      </c>
      <c r="F1110" s="2">
        <f t="shared" si="52"/>
        <v>14.600000000002183</v>
      </c>
      <c r="G1110" s="3">
        <f t="shared" si="53"/>
        <v>29.114985585542126</v>
      </c>
      <c r="H1110" t="str">
        <f t="shared" si="51"/>
        <v>2026-07</v>
      </c>
      <c r="I1110">
        <v>3</v>
      </c>
    </row>
    <row r="1111" spans="1:9" x14ac:dyDescent="0.25">
      <c r="A1111" t="s">
        <v>1116</v>
      </c>
      <c r="B1111">
        <v>24265.8</v>
      </c>
      <c r="C1111">
        <v>24266.7</v>
      </c>
      <c r="D1111">
        <v>24251.05</v>
      </c>
      <c r="E1111">
        <v>24262.5</v>
      </c>
      <c r="F1111" s="2">
        <f t="shared" si="52"/>
        <v>15.650000000001455</v>
      </c>
      <c r="G1111" s="3">
        <f t="shared" si="53"/>
        <v>28.153200900860647</v>
      </c>
      <c r="H1111" t="str">
        <f t="shared" si="51"/>
        <v>2026-07</v>
      </c>
      <c r="I1111">
        <v>3</v>
      </c>
    </row>
    <row r="1112" spans="1:9" x14ac:dyDescent="0.25">
      <c r="A1112" t="s">
        <v>1117</v>
      </c>
      <c r="B1112">
        <v>24262.6</v>
      </c>
      <c r="C1112">
        <v>24266.400000000001</v>
      </c>
      <c r="D1112">
        <v>24248.85</v>
      </c>
      <c r="E1112">
        <v>24254.1</v>
      </c>
      <c r="F1112" s="2">
        <f t="shared" si="52"/>
        <v>17.55000000000291</v>
      </c>
      <c r="G1112" s="3">
        <f t="shared" si="53"/>
        <v>27.395829407942237</v>
      </c>
      <c r="H1112" t="str">
        <f t="shared" si="51"/>
        <v>2026-07</v>
      </c>
      <c r="I1112">
        <v>3</v>
      </c>
    </row>
    <row r="1113" spans="1:9" x14ac:dyDescent="0.25">
      <c r="A1113" t="s">
        <v>1118</v>
      </c>
      <c r="B1113">
        <v>24253.95</v>
      </c>
      <c r="C1113">
        <v>24267.45</v>
      </c>
      <c r="D1113">
        <v>24249</v>
      </c>
      <c r="E1113">
        <v>24264.05</v>
      </c>
      <c r="F1113" s="2">
        <f t="shared" si="52"/>
        <v>18.450000000000728</v>
      </c>
      <c r="G1113" s="3">
        <f t="shared" si="53"/>
        <v>26.75684159308927</v>
      </c>
      <c r="H1113" t="str">
        <f t="shared" si="51"/>
        <v>2026-07</v>
      </c>
      <c r="I1113">
        <v>3</v>
      </c>
    </row>
    <row r="1114" spans="1:9" x14ac:dyDescent="0.25">
      <c r="A1114" t="s">
        <v>1119</v>
      </c>
      <c r="B1114">
        <v>24264.3</v>
      </c>
      <c r="C1114">
        <v>24331.4</v>
      </c>
      <c r="D1114">
        <v>24261.95</v>
      </c>
      <c r="E1114">
        <v>24308.35</v>
      </c>
      <c r="F1114" s="2">
        <f t="shared" si="52"/>
        <v>69.450000000000728</v>
      </c>
      <c r="G1114" s="3">
        <f t="shared" si="53"/>
        <v>29.806352907868661</v>
      </c>
      <c r="H1114" t="str">
        <f t="shared" si="51"/>
        <v>2026-07</v>
      </c>
      <c r="I1114">
        <v>3</v>
      </c>
    </row>
    <row r="1115" spans="1:9" x14ac:dyDescent="0.25">
      <c r="A1115" t="s">
        <v>1120</v>
      </c>
      <c r="B1115">
        <v>24308.45</v>
      </c>
      <c r="C1115">
        <v>24309.55</v>
      </c>
      <c r="D1115">
        <v>24290.799999999999</v>
      </c>
      <c r="E1115">
        <v>24295.7</v>
      </c>
      <c r="F1115" s="2">
        <f t="shared" si="52"/>
        <v>18.75</v>
      </c>
      <c r="G1115" s="3">
        <f t="shared" si="53"/>
        <v>29.01661341444947</v>
      </c>
      <c r="H1115" t="str">
        <f t="shared" si="51"/>
        <v>2026-07</v>
      </c>
      <c r="I1115">
        <v>3</v>
      </c>
    </row>
    <row r="1116" spans="1:9" x14ac:dyDescent="0.25">
      <c r="A1116" t="s">
        <v>1121</v>
      </c>
      <c r="B1116">
        <v>24295.65</v>
      </c>
      <c r="C1116">
        <v>24297.55</v>
      </c>
      <c r="D1116">
        <v>24248.85</v>
      </c>
      <c r="E1116">
        <v>24264</v>
      </c>
      <c r="F1116" s="2">
        <f t="shared" si="52"/>
        <v>48.700000000000728</v>
      </c>
      <c r="G1116" s="3">
        <f t="shared" si="53"/>
        <v>30.422569599131702</v>
      </c>
      <c r="H1116" t="str">
        <f t="shared" si="51"/>
        <v>2026-07</v>
      </c>
      <c r="I1116">
        <v>3</v>
      </c>
    </row>
    <row r="1117" spans="1:9" x14ac:dyDescent="0.25">
      <c r="A1117" t="s">
        <v>1122</v>
      </c>
      <c r="B1117">
        <v>24264.05</v>
      </c>
      <c r="C1117">
        <v>24285.55</v>
      </c>
      <c r="D1117">
        <v>24259.1</v>
      </c>
      <c r="E1117">
        <v>24269.4</v>
      </c>
      <c r="F1117" s="2">
        <f t="shared" si="52"/>
        <v>26.450000000000728</v>
      </c>
      <c r="G1117" s="3">
        <f t="shared" si="53"/>
        <v>30.138814627765203</v>
      </c>
      <c r="H1117" t="str">
        <f t="shared" si="51"/>
        <v>2026-07</v>
      </c>
      <c r="I1117">
        <v>3</v>
      </c>
    </row>
    <row r="1118" spans="1:9" x14ac:dyDescent="0.25">
      <c r="A1118" t="s">
        <v>1123</v>
      </c>
      <c r="B1118">
        <v>24269.15</v>
      </c>
      <c r="C1118">
        <v>24300.25</v>
      </c>
      <c r="D1118">
        <v>24266.9</v>
      </c>
      <c r="E1118">
        <v>24289.45</v>
      </c>
      <c r="F1118" s="2">
        <f t="shared" si="52"/>
        <v>33.349999999998545</v>
      </c>
      <c r="G1118" s="3">
        <f t="shared" si="53"/>
        <v>30.368185011496159</v>
      </c>
      <c r="H1118" t="str">
        <f t="shared" si="51"/>
        <v>2026-07</v>
      </c>
      <c r="I1118">
        <v>3</v>
      </c>
    </row>
    <row r="1119" spans="1:9" x14ac:dyDescent="0.25">
      <c r="A1119" t="s">
        <v>1124</v>
      </c>
      <c r="B1119">
        <v>24288.400000000001</v>
      </c>
      <c r="C1119">
        <v>24299.45</v>
      </c>
      <c r="D1119">
        <v>24272.3</v>
      </c>
      <c r="E1119">
        <v>24283.85</v>
      </c>
      <c r="F1119" s="2">
        <f t="shared" si="52"/>
        <v>27.150000000001455</v>
      </c>
      <c r="G1119" s="3">
        <f t="shared" si="53"/>
        <v>30.138314653532252</v>
      </c>
      <c r="H1119" t="str">
        <f t="shared" si="51"/>
        <v>2026-07</v>
      </c>
      <c r="I1119">
        <v>3</v>
      </c>
    </row>
    <row r="1120" spans="1:9" x14ac:dyDescent="0.25">
      <c r="A1120" t="s">
        <v>1125</v>
      </c>
      <c r="B1120">
        <v>24283.35</v>
      </c>
      <c r="C1120">
        <v>24287.75</v>
      </c>
      <c r="D1120">
        <v>24255.45</v>
      </c>
      <c r="E1120">
        <v>24255.7</v>
      </c>
      <c r="F1120" s="2">
        <f t="shared" si="52"/>
        <v>32.299999999999272</v>
      </c>
      <c r="G1120" s="3">
        <f t="shared" si="53"/>
        <v>30.292720749708469</v>
      </c>
      <c r="H1120" t="str">
        <f t="shared" si="51"/>
        <v>2026-07</v>
      </c>
      <c r="I1120">
        <v>3</v>
      </c>
    </row>
    <row r="1121" spans="1:9" x14ac:dyDescent="0.25">
      <c r="A1121" t="s">
        <v>1126</v>
      </c>
      <c r="B1121">
        <v>24255.200000000001</v>
      </c>
      <c r="C1121">
        <v>24260.25</v>
      </c>
      <c r="D1121">
        <v>24228.95</v>
      </c>
      <c r="E1121">
        <v>24235</v>
      </c>
      <c r="F1121" s="2">
        <f t="shared" si="52"/>
        <v>31.299999999999272</v>
      </c>
      <c r="G1121" s="3">
        <f t="shared" si="53"/>
        <v>30.364669267586383</v>
      </c>
      <c r="H1121" t="str">
        <f t="shared" si="51"/>
        <v>2026-07</v>
      </c>
      <c r="I1121">
        <v>3</v>
      </c>
    </row>
    <row r="1122" spans="1:9" x14ac:dyDescent="0.25">
      <c r="A1122" t="s">
        <v>1127</v>
      </c>
      <c r="B1122">
        <v>24235.3</v>
      </c>
      <c r="C1122">
        <v>24269.599999999999</v>
      </c>
      <c r="D1122">
        <v>24227.25</v>
      </c>
      <c r="E1122">
        <v>24258.7</v>
      </c>
      <c r="F1122" s="2">
        <f t="shared" si="52"/>
        <v>42.349999999998545</v>
      </c>
      <c r="G1122" s="3">
        <f t="shared" si="53"/>
        <v>31.220764319901537</v>
      </c>
      <c r="H1122" t="str">
        <f t="shared" si="51"/>
        <v>2026-07</v>
      </c>
      <c r="I1122">
        <v>3</v>
      </c>
    </row>
    <row r="1123" spans="1:9" x14ac:dyDescent="0.25">
      <c r="A1123" t="s">
        <v>1128</v>
      </c>
      <c r="B1123">
        <v>24258.85</v>
      </c>
      <c r="C1123">
        <v>24283.45</v>
      </c>
      <c r="D1123">
        <v>24251.1</v>
      </c>
      <c r="E1123">
        <v>24272.85</v>
      </c>
      <c r="F1123" s="2">
        <f t="shared" si="52"/>
        <v>32.350000000002183</v>
      </c>
      <c r="G1123" s="3">
        <f t="shared" si="53"/>
        <v>31.3014240113373</v>
      </c>
      <c r="H1123" t="str">
        <f t="shared" si="51"/>
        <v>2026-07</v>
      </c>
      <c r="I1123">
        <v>3</v>
      </c>
    </row>
    <row r="1124" spans="1:9" x14ac:dyDescent="0.25">
      <c r="A1124" t="s">
        <v>1129</v>
      </c>
      <c r="B1124">
        <v>24273.1</v>
      </c>
      <c r="C1124">
        <v>24329.55</v>
      </c>
      <c r="D1124">
        <v>24268.75</v>
      </c>
      <c r="E1124">
        <v>24318.25</v>
      </c>
      <c r="F1124" s="2">
        <f t="shared" si="52"/>
        <v>60.799999999999272</v>
      </c>
      <c r="G1124" s="3">
        <f t="shared" si="53"/>
        <v>33.408465153384583</v>
      </c>
      <c r="H1124" t="str">
        <f t="shared" si="51"/>
        <v>2026-07</v>
      </c>
      <c r="I1124">
        <v>3</v>
      </c>
    </row>
    <row r="1125" spans="1:9" x14ac:dyDescent="0.25">
      <c r="A1125" t="s">
        <v>1130</v>
      </c>
      <c r="B1125">
        <v>24316.9</v>
      </c>
      <c r="C1125">
        <v>24342.95</v>
      </c>
      <c r="D1125">
        <v>24292.75</v>
      </c>
      <c r="E1125">
        <v>24296.6</v>
      </c>
      <c r="F1125" s="2">
        <f t="shared" si="52"/>
        <v>50.200000000000728</v>
      </c>
      <c r="G1125" s="3">
        <f t="shared" si="53"/>
        <v>34.607860499571451</v>
      </c>
      <c r="H1125" t="str">
        <f t="shared" si="51"/>
        <v>2026-07</v>
      </c>
      <c r="I1125">
        <v>3</v>
      </c>
    </row>
    <row r="1126" spans="1:9" x14ac:dyDescent="0.25">
      <c r="A1126" t="s">
        <v>1131</v>
      </c>
      <c r="B1126">
        <v>24359.8</v>
      </c>
      <c r="C1126">
        <v>24381.25</v>
      </c>
      <c r="D1126">
        <v>24326.55</v>
      </c>
      <c r="E1126">
        <v>24345.75</v>
      </c>
      <c r="F1126" s="2">
        <f t="shared" si="52"/>
        <v>84.650000000001455</v>
      </c>
      <c r="G1126" s="3">
        <f t="shared" si="53"/>
        <v>38.182299035316454</v>
      </c>
      <c r="H1126" t="str">
        <f t="shared" si="51"/>
        <v>2026-07</v>
      </c>
      <c r="I1126">
        <v>3</v>
      </c>
    </row>
    <row r="1127" spans="1:9" x14ac:dyDescent="0.25">
      <c r="A1127" t="s">
        <v>1132</v>
      </c>
      <c r="B1127">
        <v>24344.75</v>
      </c>
      <c r="C1127">
        <v>24352.9</v>
      </c>
      <c r="D1127">
        <v>24299.7</v>
      </c>
      <c r="E1127">
        <v>24349.3</v>
      </c>
      <c r="F1127" s="2">
        <f t="shared" si="52"/>
        <v>53.200000000000728</v>
      </c>
      <c r="G1127" s="3">
        <f t="shared" si="53"/>
        <v>39.254991961365327</v>
      </c>
      <c r="H1127" t="str">
        <f t="shared" si="51"/>
        <v>2026-07</v>
      </c>
      <c r="I1127">
        <v>3</v>
      </c>
    </row>
    <row r="1128" spans="1:9" x14ac:dyDescent="0.25">
      <c r="A1128" t="s">
        <v>1133</v>
      </c>
      <c r="B1128">
        <v>24348.9</v>
      </c>
      <c r="C1128">
        <v>24362.95</v>
      </c>
      <c r="D1128">
        <v>24335.75</v>
      </c>
      <c r="E1128">
        <v>24357.55</v>
      </c>
      <c r="F1128" s="2">
        <f t="shared" si="52"/>
        <v>27.200000000000728</v>
      </c>
      <c r="G1128" s="3">
        <f t="shared" si="53"/>
        <v>38.393921106982141</v>
      </c>
      <c r="H1128" t="str">
        <f t="shared" si="51"/>
        <v>2026-07</v>
      </c>
      <c r="I1128">
        <v>3</v>
      </c>
    </row>
    <row r="1129" spans="1:9" x14ac:dyDescent="0.25">
      <c r="A1129" t="s">
        <v>1134</v>
      </c>
      <c r="B1129">
        <v>24357.599999999999</v>
      </c>
      <c r="C1129">
        <v>24359.65</v>
      </c>
      <c r="D1129">
        <v>24333.65</v>
      </c>
      <c r="E1129">
        <v>24346.05</v>
      </c>
      <c r="F1129" s="2">
        <f t="shared" si="52"/>
        <v>26</v>
      </c>
      <c r="G1129" s="3">
        <f t="shared" si="53"/>
        <v>37.508641027911992</v>
      </c>
      <c r="H1129" t="str">
        <f t="shared" si="51"/>
        <v>2026-07</v>
      </c>
      <c r="I1129">
        <v>3</v>
      </c>
    </row>
    <row r="1130" spans="1:9" x14ac:dyDescent="0.25">
      <c r="A1130" t="s">
        <v>1135</v>
      </c>
      <c r="B1130">
        <v>24346.2</v>
      </c>
      <c r="C1130">
        <v>24355.45</v>
      </c>
      <c r="D1130">
        <v>24332.9</v>
      </c>
      <c r="E1130">
        <v>24352.1</v>
      </c>
      <c r="F1130" s="2">
        <f t="shared" si="52"/>
        <v>22.549999999999272</v>
      </c>
      <c r="G1130" s="3">
        <f t="shared" si="53"/>
        <v>36.440166668775369</v>
      </c>
      <c r="H1130" t="str">
        <f t="shared" si="51"/>
        <v>2026-07</v>
      </c>
      <c r="I1130">
        <v>3</v>
      </c>
    </row>
    <row r="1131" spans="1:9" x14ac:dyDescent="0.25">
      <c r="A1131" t="s">
        <v>1136</v>
      </c>
      <c r="B1131">
        <v>24350.799999999999</v>
      </c>
      <c r="C1131">
        <v>24361.05</v>
      </c>
      <c r="D1131">
        <v>24336.15</v>
      </c>
      <c r="E1131">
        <v>24353.55</v>
      </c>
      <c r="F1131" s="2">
        <f t="shared" si="52"/>
        <v>24.899999999997817</v>
      </c>
      <c r="G1131" s="3">
        <f t="shared" si="53"/>
        <v>35.615869049576972</v>
      </c>
      <c r="H1131" t="str">
        <f t="shared" si="51"/>
        <v>2026-07</v>
      </c>
      <c r="I1131">
        <v>3</v>
      </c>
    </row>
    <row r="1132" spans="1:9" x14ac:dyDescent="0.25">
      <c r="A1132" t="s">
        <v>1137</v>
      </c>
      <c r="B1132">
        <v>24353</v>
      </c>
      <c r="C1132">
        <v>24362.35</v>
      </c>
      <c r="D1132">
        <v>24345.3</v>
      </c>
      <c r="E1132">
        <v>24354.2</v>
      </c>
      <c r="F1132" s="2">
        <f t="shared" si="52"/>
        <v>17.049999999999272</v>
      </c>
      <c r="G1132" s="3">
        <f t="shared" si="53"/>
        <v>34.289735546035708</v>
      </c>
      <c r="H1132" t="str">
        <f t="shared" si="51"/>
        <v>2026-07</v>
      </c>
      <c r="I1132">
        <v>3</v>
      </c>
    </row>
    <row r="1133" spans="1:9" x14ac:dyDescent="0.25">
      <c r="A1133" t="s">
        <v>1138</v>
      </c>
      <c r="B1133">
        <v>24354.1</v>
      </c>
      <c r="C1133">
        <v>24357.9</v>
      </c>
      <c r="D1133">
        <v>24334.15</v>
      </c>
      <c r="E1133">
        <v>24357.75</v>
      </c>
      <c r="F1133" s="2">
        <f t="shared" si="52"/>
        <v>23.75</v>
      </c>
      <c r="G1133" s="3">
        <f t="shared" si="53"/>
        <v>33.53689729274744</v>
      </c>
      <c r="H1133" t="str">
        <f t="shared" si="51"/>
        <v>2026-07</v>
      </c>
      <c r="I1133">
        <v>3</v>
      </c>
    </row>
    <row r="1134" spans="1:9" x14ac:dyDescent="0.25">
      <c r="A1134" t="s">
        <v>1139</v>
      </c>
      <c r="B1134">
        <v>24358.3</v>
      </c>
      <c r="C1134">
        <v>24374.95</v>
      </c>
      <c r="D1134">
        <v>24355.7</v>
      </c>
      <c r="E1134">
        <v>24365.7</v>
      </c>
      <c r="F1134" s="2">
        <f t="shared" si="52"/>
        <v>19.25</v>
      </c>
      <c r="G1134" s="3">
        <f t="shared" si="53"/>
        <v>32.516404628979764</v>
      </c>
      <c r="H1134" t="str">
        <f t="shared" si="51"/>
        <v>2026-07</v>
      </c>
      <c r="I1134">
        <v>3</v>
      </c>
    </row>
    <row r="1135" spans="1:9" x14ac:dyDescent="0.25">
      <c r="A1135" t="s">
        <v>1140</v>
      </c>
      <c r="B1135">
        <v>24366.25</v>
      </c>
      <c r="C1135">
        <v>24370</v>
      </c>
      <c r="D1135">
        <v>24357.85</v>
      </c>
      <c r="E1135">
        <v>24364.7</v>
      </c>
      <c r="F1135" s="2">
        <f t="shared" si="52"/>
        <v>12.150000000001455</v>
      </c>
      <c r="G1135" s="3">
        <f t="shared" si="53"/>
        <v>31.0616614411956</v>
      </c>
      <c r="H1135" t="str">
        <f t="shared" si="51"/>
        <v>2026-07</v>
      </c>
      <c r="I1135">
        <v>3</v>
      </c>
    </row>
    <row r="1136" spans="1:9" x14ac:dyDescent="0.25">
      <c r="A1136" t="s">
        <v>1141</v>
      </c>
      <c r="B1136">
        <v>24364.6</v>
      </c>
      <c r="C1136">
        <v>24369.1</v>
      </c>
      <c r="D1136">
        <v>24358.35</v>
      </c>
      <c r="E1136">
        <v>24364.45</v>
      </c>
      <c r="F1136" s="2">
        <f t="shared" si="52"/>
        <v>10.75</v>
      </c>
      <c r="G1136" s="3">
        <f t="shared" si="53"/>
        <v>29.6108284811102</v>
      </c>
      <c r="H1136" t="str">
        <f t="shared" si="51"/>
        <v>2026-07</v>
      </c>
      <c r="I1136">
        <v>3</v>
      </c>
    </row>
    <row r="1137" spans="1:9" x14ac:dyDescent="0.25">
      <c r="A1137" t="s">
        <v>1142</v>
      </c>
      <c r="B1137">
        <v>24364.85</v>
      </c>
      <c r="C1137">
        <v>24382.65</v>
      </c>
      <c r="D1137">
        <v>24360.95</v>
      </c>
      <c r="E1137">
        <v>24382.1</v>
      </c>
      <c r="F1137" s="2">
        <f t="shared" si="52"/>
        <v>21.700000000000728</v>
      </c>
      <c r="G1137" s="3">
        <f t="shared" si="53"/>
        <v>29.045769303888097</v>
      </c>
      <c r="H1137" t="str">
        <f t="shared" si="51"/>
        <v>2026-07</v>
      </c>
      <c r="I1137">
        <v>3</v>
      </c>
    </row>
    <row r="1138" spans="1:9" x14ac:dyDescent="0.25">
      <c r="A1138" t="s">
        <v>1143</v>
      </c>
      <c r="B1138">
        <v>24381.55</v>
      </c>
      <c r="C1138">
        <v>24393.5</v>
      </c>
      <c r="D1138">
        <v>24374.3</v>
      </c>
      <c r="E1138">
        <v>24386.3</v>
      </c>
      <c r="F1138" s="2">
        <f t="shared" si="52"/>
        <v>19.200000000000728</v>
      </c>
      <c r="G1138" s="3">
        <f t="shared" si="53"/>
        <v>28.342500067896143</v>
      </c>
      <c r="H1138" t="str">
        <f t="shared" si="51"/>
        <v>2026-07</v>
      </c>
      <c r="I1138">
        <v>3</v>
      </c>
    </row>
    <row r="1139" spans="1:9" x14ac:dyDescent="0.25">
      <c r="A1139" t="s">
        <v>1144</v>
      </c>
      <c r="B1139">
        <v>24385.7</v>
      </c>
      <c r="C1139">
        <v>24404.6</v>
      </c>
      <c r="D1139">
        <v>24378.65</v>
      </c>
      <c r="E1139">
        <v>24401.75</v>
      </c>
      <c r="F1139" s="2">
        <f t="shared" si="52"/>
        <v>25.94999999999709</v>
      </c>
      <c r="G1139" s="3">
        <f t="shared" si="53"/>
        <v>28.171607205903353</v>
      </c>
      <c r="H1139" t="str">
        <f t="shared" si="51"/>
        <v>2026-07</v>
      </c>
      <c r="I1139">
        <v>3</v>
      </c>
    </row>
    <row r="1140" spans="1:9" x14ac:dyDescent="0.25">
      <c r="A1140" t="s">
        <v>1145</v>
      </c>
      <c r="B1140">
        <v>24402</v>
      </c>
      <c r="C1140">
        <v>24424.799999999999</v>
      </c>
      <c r="D1140">
        <v>24400.05</v>
      </c>
      <c r="E1140">
        <v>24413.75</v>
      </c>
      <c r="F1140" s="2">
        <f t="shared" si="52"/>
        <v>24.75</v>
      </c>
      <c r="G1140" s="3">
        <f t="shared" si="53"/>
        <v>27.92720669119597</v>
      </c>
      <c r="H1140" t="str">
        <f t="shared" si="51"/>
        <v>2026-07</v>
      </c>
      <c r="I1140">
        <v>3</v>
      </c>
    </row>
    <row r="1141" spans="1:9" x14ac:dyDescent="0.25">
      <c r="A1141" t="s">
        <v>1146</v>
      </c>
      <c r="B1141">
        <v>24412.95</v>
      </c>
      <c r="C1141">
        <v>24427.85</v>
      </c>
      <c r="D1141">
        <v>24407.55</v>
      </c>
      <c r="E1141">
        <v>24414.799999999999</v>
      </c>
      <c r="F1141" s="2">
        <f t="shared" si="52"/>
        <v>20.299999999999272</v>
      </c>
      <c r="G1141" s="3">
        <f t="shared" si="53"/>
        <v>27.382406213253347</v>
      </c>
      <c r="H1141" t="str">
        <f t="shared" si="51"/>
        <v>2026-07</v>
      </c>
      <c r="I1141">
        <v>3</v>
      </c>
    </row>
    <row r="1142" spans="1:9" x14ac:dyDescent="0.25">
      <c r="A1142" t="s">
        <v>1147</v>
      </c>
      <c r="B1142">
        <v>24414.3</v>
      </c>
      <c r="C1142">
        <v>24429.4</v>
      </c>
      <c r="D1142">
        <v>24412.7</v>
      </c>
      <c r="E1142">
        <v>24417.85</v>
      </c>
      <c r="F1142" s="2">
        <f t="shared" si="52"/>
        <v>16.700000000000728</v>
      </c>
      <c r="G1142" s="3">
        <f t="shared" si="53"/>
        <v>26.61937719802102</v>
      </c>
      <c r="H1142" t="str">
        <f t="shared" si="51"/>
        <v>2026-07</v>
      </c>
      <c r="I1142">
        <v>3</v>
      </c>
    </row>
    <row r="1143" spans="1:9" x14ac:dyDescent="0.25">
      <c r="A1143" t="s">
        <v>1148</v>
      </c>
      <c r="B1143">
        <v>24417.9</v>
      </c>
      <c r="C1143">
        <v>24419.8</v>
      </c>
      <c r="D1143">
        <v>24391.45</v>
      </c>
      <c r="E1143">
        <v>24395.200000000001</v>
      </c>
      <c r="F1143" s="2">
        <f t="shared" si="52"/>
        <v>28.349999999998545</v>
      </c>
      <c r="G1143" s="3">
        <f t="shared" si="53"/>
        <v>26.742993112447984</v>
      </c>
      <c r="H1143" t="str">
        <f t="shared" si="51"/>
        <v>2026-07</v>
      </c>
      <c r="I1143">
        <v>3</v>
      </c>
    </row>
    <row r="1144" spans="1:9" x14ac:dyDescent="0.25">
      <c r="A1144" t="s">
        <v>1149</v>
      </c>
      <c r="B1144">
        <v>24395.75</v>
      </c>
      <c r="C1144">
        <v>24413.1</v>
      </c>
      <c r="D1144">
        <v>24390.2</v>
      </c>
      <c r="E1144">
        <v>24412.2</v>
      </c>
      <c r="F1144" s="2">
        <f t="shared" si="52"/>
        <v>22.899999999997817</v>
      </c>
      <c r="G1144" s="3">
        <f t="shared" si="53"/>
        <v>26.46849360441583</v>
      </c>
      <c r="H1144" t="str">
        <f t="shared" si="51"/>
        <v>2026-07</v>
      </c>
      <c r="I1144">
        <v>3</v>
      </c>
    </row>
    <row r="1145" spans="1:9" x14ac:dyDescent="0.25">
      <c r="A1145" t="s">
        <v>1150</v>
      </c>
      <c r="B1145">
        <v>24413.05</v>
      </c>
      <c r="C1145">
        <v>24413.75</v>
      </c>
      <c r="D1145">
        <v>24386</v>
      </c>
      <c r="E1145">
        <v>24402.65</v>
      </c>
      <c r="F1145" s="2">
        <f t="shared" si="52"/>
        <v>27.75</v>
      </c>
      <c r="G1145" s="3">
        <f t="shared" si="53"/>
        <v>26.560029775528985</v>
      </c>
      <c r="H1145" t="str">
        <f t="shared" si="51"/>
        <v>2026-07</v>
      </c>
      <c r="I1145">
        <v>3</v>
      </c>
    </row>
    <row r="1146" spans="1:9" x14ac:dyDescent="0.25">
      <c r="A1146" t="s">
        <v>1151</v>
      </c>
      <c r="B1146">
        <v>24403.5</v>
      </c>
      <c r="C1146">
        <v>24407.05</v>
      </c>
      <c r="D1146">
        <v>24390.15</v>
      </c>
      <c r="E1146">
        <v>24394.3</v>
      </c>
      <c r="F1146" s="2">
        <f t="shared" si="52"/>
        <v>16.899999999997817</v>
      </c>
      <c r="G1146" s="3">
        <f t="shared" si="53"/>
        <v>25.870027648705332</v>
      </c>
      <c r="H1146" t="str">
        <f t="shared" si="51"/>
        <v>2026-07</v>
      </c>
      <c r="I1146">
        <v>3</v>
      </c>
    </row>
    <row r="1147" spans="1:9" x14ac:dyDescent="0.25">
      <c r="A1147" t="s">
        <v>1152</v>
      </c>
      <c r="B1147">
        <v>24395.8</v>
      </c>
      <c r="C1147">
        <v>24401.9</v>
      </c>
      <c r="D1147">
        <v>24357.1</v>
      </c>
      <c r="E1147">
        <v>24361.85</v>
      </c>
      <c r="F1147" s="2">
        <f t="shared" si="52"/>
        <v>44.80000000000291</v>
      </c>
      <c r="G1147" s="3">
        <f t="shared" si="53"/>
        <v>27.222168530940873</v>
      </c>
      <c r="H1147" t="str">
        <f t="shared" si="51"/>
        <v>2026-07</v>
      </c>
      <c r="I1147">
        <v>3</v>
      </c>
    </row>
    <row r="1148" spans="1:9" x14ac:dyDescent="0.25">
      <c r="A1148" t="s">
        <v>1153</v>
      </c>
      <c r="B1148">
        <v>24361.65</v>
      </c>
      <c r="C1148">
        <v>24375.05</v>
      </c>
      <c r="D1148">
        <v>24355.05</v>
      </c>
      <c r="E1148">
        <v>24360.55</v>
      </c>
      <c r="F1148" s="2">
        <f t="shared" si="52"/>
        <v>20</v>
      </c>
      <c r="G1148" s="3">
        <f t="shared" si="53"/>
        <v>26.706299350159384</v>
      </c>
      <c r="H1148" t="str">
        <f t="shared" si="51"/>
        <v>2026-07</v>
      </c>
      <c r="I1148">
        <v>3</v>
      </c>
    </row>
    <row r="1149" spans="1:9" x14ac:dyDescent="0.25">
      <c r="A1149" t="s">
        <v>1154</v>
      </c>
      <c r="B1149">
        <v>24361.200000000001</v>
      </c>
      <c r="C1149">
        <v>24399.15</v>
      </c>
      <c r="D1149">
        <v>24361.200000000001</v>
      </c>
      <c r="E1149">
        <v>24390.2</v>
      </c>
      <c r="F1149" s="2">
        <f t="shared" si="52"/>
        <v>38.600000000002183</v>
      </c>
      <c r="G1149" s="3">
        <f t="shared" si="53"/>
        <v>27.555849396576725</v>
      </c>
      <c r="H1149" t="str">
        <f t="shared" si="51"/>
        <v>2026-07</v>
      </c>
      <c r="I1149">
        <v>3</v>
      </c>
    </row>
    <row r="1150" spans="1:9" x14ac:dyDescent="0.25">
      <c r="A1150" t="s">
        <v>1155</v>
      </c>
      <c r="B1150">
        <v>24391.3</v>
      </c>
      <c r="C1150">
        <v>24392.400000000001</v>
      </c>
      <c r="D1150">
        <v>24359.65</v>
      </c>
      <c r="E1150">
        <v>24366.7</v>
      </c>
      <c r="F1150" s="2">
        <f t="shared" si="52"/>
        <v>32.75</v>
      </c>
      <c r="G1150" s="3">
        <f t="shared" si="53"/>
        <v>27.926860153964103</v>
      </c>
      <c r="H1150" t="str">
        <f t="shared" si="51"/>
        <v>2026-07</v>
      </c>
      <c r="I1150">
        <v>3</v>
      </c>
    </row>
    <row r="1151" spans="1:9" x14ac:dyDescent="0.25">
      <c r="A1151" t="s">
        <v>1156</v>
      </c>
      <c r="B1151">
        <v>24574.55</v>
      </c>
      <c r="C1151">
        <v>24576.45</v>
      </c>
      <c r="D1151">
        <v>24515.15</v>
      </c>
      <c r="E1151">
        <v>24550.2</v>
      </c>
      <c r="F1151" s="2">
        <f t="shared" si="52"/>
        <v>209.75</v>
      </c>
      <c r="G1151" s="3">
        <f t="shared" si="53"/>
        <v>40.914227285823813</v>
      </c>
      <c r="H1151" t="str">
        <f t="shared" si="51"/>
        <v>2026-08</v>
      </c>
      <c r="I1151">
        <v>3</v>
      </c>
    </row>
    <row r="1152" spans="1:9" x14ac:dyDescent="0.25">
      <c r="A1152" t="s">
        <v>1157</v>
      </c>
      <c r="B1152">
        <v>24550.25</v>
      </c>
      <c r="C1152">
        <v>24560.45</v>
      </c>
      <c r="D1152">
        <v>24541.8</v>
      </c>
      <c r="E1152">
        <v>24558.05</v>
      </c>
      <c r="F1152" s="2">
        <f t="shared" si="52"/>
        <v>18.650000000001455</v>
      </c>
      <c r="G1152" s="3">
        <f t="shared" si="53"/>
        <v>39.323925336836503</v>
      </c>
      <c r="H1152" t="str">
        <f t="shared" si="51"/>
        <v>2026-08</v>
      </c>
      <c r="I1152">
        <v>3</v>
      </c>
    </row>
    <row r="1153" spans="1:9" x14ac:dyDescent="0.25">
      <c r="A1153" t="s">
        <v>1158</v>
      </c>
      <c r="B1153">
        <v>24558.45</v>
      </c>
      <c r="C1153">
        <v>24571.599999999999</v>
      </c>
      <c r="D1153">
        <v>24545.75</v>
      </c>
      <c r="E1153">
        <v>24564.7</v>
      </c>
      <c r="F1153" s="2">
        <f t="shared" si="52"/>
        <v>25.849999999998545</v>
      </c>
      <c r="G1153" s="3">
        <f t="shared" si="53"/>
        <v>38.361502098490931</v>
      </c>
      <c r="H1153" t="str">
        <f t="shared" si="51"/>
        <v>2026-08</v>
      </c>
      <c r="I1153">
        <v>3</v>
      </c>
    </row>
    <row r="1154" spans="1:9" x14ac:dyDescent="0.25">
      <c r="A1154" t="s">
        <v>1159</v>
      </c>
      <c r="B1154">
        <v>24564.1</v>
      </c>
      <c r="C1154">
        <v>24582.25</v>
      </c>
      <c r="D1154">
        <v>24559.05</v>
      </c>
      <c r="E1154">
        <v>24579.200000000001</v>
      </c>
      <c r="F1154" s="2">
        <f t="shared" si="52"/>
        <v>23.200000000000728</v>
      </c>
      <c r="G1154" s="3">
        <f t="shared" si="53"/>
        <v>37.278537662884489</v>
      </c>
      <c r="H1154" t="str">
        <f t="shared" ref="H1154:H1217" si="54">LEFT(A1154,7)</f>
        <v>2026-08</v>
      </c>
      <c r="I1154">
        <v>3</v>
      </c>
    </row>
    <row r="1155" spans="1:9" x14ac:dyDescent="0.25">
      <c r="A1155" t="s">
        <v>1160</v>
      </c>
      <c r="B1155">
        <v>24579</v>
      </c>
      <c r="C1155">
        <v>24592.45</v>
      </c>
      <c r="D1155">
        <v>24572.799999999999</v>
      </c>
      <c r="E1155">
        <v>24580.799999999999</v>
      </c>
      <c r="F1155" s="2">
        <f t="shared" ref="F1155:F1218" si="55">MAX(C1155-D1155,ABS(C1155-E1154),ABS(D1155-E1154))</f>
        <v>19.650000000001455</v>
      </c>
      <c r="G1155" s="3">
        <f t="shared" si="53"/>
        <v>36.019356401249986</v>
      </c>
      <c r="H1155" t="str">
        <f t="shared" si="54"/>
        <v>2026-08</v>
      </c>
      <c r="I1155">
        <v>3</v>
      </c>
    </row>
    <row r="1156" spans="1:9" x14ac:dyDescent="0.25">
      <c r="A1156" t="s">
        <v>1161</v>
      </c>
      <c r="B1156">
        <v>24580.15</v>
      </c>
      <c r="C1156">
        <v>24585.7</v>
      </c>
      <c r="D1156">
        <v>24562.7</v>
      </c>
      <c r="E1156">
        <v>24583.65</v>
      </c>
      <c r="F1156" s="2">
        <f t="shared" si="55"/>
        <v>23</v>
      </c>
      <c r="G1156" s="3">
        <f t="shared" si="53"/>
        <v>35.089402372589277</v>
      </c>
      <c r="H1156" t="str">
        <f t="shared" si="54"/>
        <v>2026-08</v>
      </c>
      <c r="I1156">
        <v>3</v>
      </c>
    </row>
    <row r="1157" spans="1:9" x14ac:dyDescent="0.25">
      <c r="A1157" t="s">
        <v>1162</v>
      </c>
      <c r="B1157">
        <v>24583.75</v>
      </c>
      <c r="C1157">
        <v>24595.9</v>
      </c>
      <c r="D1157">
        <v>24579.45</v>
      </c>
      <c r="E1157">
        <v>24586.45</v>
      </c>
      <c r="F1157" s="2">
        <f t="shared" si="55"/>
        <v>16.450000000000728</v>
      </c>
      <c r="G1157" s="3">
        <f t="shared" si="53"/>
        <v>33.758016488832951</v>
      </c>
      <c r="H1157" t="str">
        <f t="shared" si="54"/>
        <v>2026-08</v>
      </c>
      <c r="I1157">
        <v>3</v>
      </c>
    </row>
    <row r="1158" spans="1:9" x14ac:dyDescent="0.25">
      <c r="A1158" t="s">
        <v>1163</v>
      </c>
      <c r="B1158">
        <v>24586.9</v>
      </c>
      <c r="C1158">
        <v>24602.55</v>
      </c>
      <c r="D1158">
        <v>24584.9</v>
      </c>
      <c r="E1158">
        <v>24589.45</v>
      </c>
      <c r="F1158" s="2">
        <f t="shared" si="55"/>
        <v>17.649999999997817</v>
      </c>
      <c r="G1158" s="3">
        <f t="shared" si="53"/>
        <v>32.60744388248758</v>
      </c>
      <c r="H1158" t="str">
        <f t="shared" si="54"/>
        <v>2026-08</v>
      </c>
      <c r="I1158">
        <v>3</v>
      </c>
    </row>
    <row r="1159" spans="1:9" x14ac:dyDescent="0.25">
      <c r="A1159" t="s">
        <v>1164</v>
      </c>
      <c r="B1159">
        <v>24588.95</v>
      </c>
      <c r="C1159">
        <v>24600.95</v>
      </c>
      <c r="D1159">
        <v>24586.05</v>
      </c>
      <c r="E1159">
        <v>24591.75</v>
      </c>
      <c r="F1159" s="2">
        <f t="shared" si="55"/>
        <v>14.900000000001455</v>
      </c>
      <c r="G1159" s="3">
        <f t="shared" si="53"/>
        <v>31.342626462309997</v>
      </c>
      <c r="H1159" t="str">
        <f t="shared" si="54"/>
        <v>2026-08</v>
      </c>
      <c r="I1159">
        <v>3</v>
      </c>
    </row>
    <row r="1160" spans="1:9" x14ac:dyDescent="0.25">
      <c r="A1160" t="s">
        <v>1165</v>
      </c>
      <c r="B1160">
        <v>24591.85</v>
      </c>
      <c r="C1160">
        <v>24600.3</v>
      </c>
      <c r="D1160">
        <v>24579.8</v>
      </c>
      <c r="E1160">
        <v>24592.3</v>
      </c>
      <c r="F1160" s="2">
        <f t="shared" si="55"/>
        <v>20.5</v>
      </c>
      <c r="G1160" s="3">
        <f t="shared" si="53"/>
        <v>30.568153143573568</v>
      </c>
      <c r="H1160" t="str">
        <f t="shared" si="54"/>
        <v>2026-08</v>
      </c>
      <c r="I1160">
        <v>3</v>
      </c>
    </row>
    <row r="1161" spans="1:9" x14ac:dyDescent="0.25">
      <c r="A1161" t="s">
        <v>1166</v>
      </c>
      <c r="B1161">
        <v>24592.5</v>
      </c>
      <c r="C1161">
        <v>24606.15</v>
      </c>
      <c r="D1161">
        <v>24584.799999999999</v>
      </c>
      <c r="E1161">
        <v>24592</v>
      </c>
      <c r="F1161" s="2">
        <f t="shared" si="55"/>
        <v>21.350000000002183</v>
      </c>
      <c r="G1161" s="3">
        <f t="shared" si="53"/>
        <v>29.909713633318468</v>
      </c>
      <c r="H1161" t="str">
        <f t="shared" si="54"/>
        <v>2026-08</v>
      </c>
      <c r="I1161">
        <v>3</v>
      </c>
    </row>
    <row r="1162" spans="1:9" x14ac:dyDescent="0.25">
      <c r="A1162" t="s">
        <v>1167</v>
      </c>
      <c r="B1162">
        <v>24591.55</v>
      </c>
      <c r="C1162">
        <v>24602.6</v>
      </c>
      <c r="D1162">
        <v>24585.7</v>
      </c>
      <c r="E1162">
        <v>24601.3</v>
      </c>
      <c r="F1162" s="2">
        <f t="shared" si="55"/>
        <v>16.899999999997817</v>
      </c>
      <c r="G1162" s="3">
        <f t="shared" si="53"/>
        <v>28.980448373795564</v>
      </c>
      <c r="H1162" t="str">
        <f t="shared" si="54"/>
        <v>2026-08</v>
      </c>
      <c r="I1162">
        <v>3</v>
      </c>
    </row>
    <row r="1163" spans="1:9" x14ac:dyDescent="0.25">
      <c r="A1163" t="s">
        <v>1168</v>
      </c>
      <c r="B1163">
        <v>24600.5</v>
      </c>
      <c r="C1163">
        <v>24609.5</v>
      </c>
      <c r="D1163">
        <v>24598.05</v>
      </c>
      <c r="E1163">
        <v>24604.05</v>
      </c>
      <c r="F1163" s="2">
        <f t="shared" si="55"/>
        <v>11.450000000000728</v>
      </c>
      <c r="G1163" s="3">
        <f t="shared" si="53"/>
        <v>27.728273489953075</v>
      </c>
      <c r="H1163" t="str">
        <f t="shared" si="54"/>
        <v>2026-08</v>
      </c>
      <c r="I1163">
        <v>3</v>
      </c>
    </row>
    <row r="1164" spans="1:9" x14ac:dyDescent="0.25">
      <c r="A1164" t="s">
        <v>1169</v>
      </c>
      <c r="B1164">
        <v>24604.45</v>
      </c>
      <c r="C1164">
        <v>24606.55</v>
      </c>
      <c r="D1164">
        <v>24584.400000000001</v>
      </c>
      <c r="E1164">
        <v>24593</v>
      </c>
      <c r="F1164" s="2">
        <f t="shared" si="55"/>
        <v>22.149999999997817</v>
      </c>
      <c r="G1164" s="3">
        <f t="shared" si="53"/>
        <v>27.329825383527698</v>
      </c>
      <c r="H1164" t="str">
        <f t="shared" si="54"/>
        <v>2026-08</v>
      </c>
      <c r="I1164">
        <v>3</v>
      </c>
    </row>
    <row r="1165" spans="1:9" x14ac:dyDescent="0.25">
      <c r="A1165" t="s">
        <v>1170</v>
      </c>
      <c r="B1165">
        <v>24594.65</v>
      </c>
      <c r="C1165">
        <v>24602.15</v>
      </c>
      <c r="D1165">
        <v>24570.15</v>
      </c>
      <c r="E1165">
        <v>24584.65</v>
      </c>
      <c r="F1165" s="2">
        <f t="shared" si="55"/>
        <v>32</v>
      </c>
      <c r="G1165" s="3">
        <f t="shared" si="53"/>
        <v>27.663409284704294</v>
      </c>
      <c r="H1165" t="str">
        <f t="shared" si="54"/>
        <v>2026-08</v>
      </c>
      <c r="I1165">
        <v>3</v>
      </c>
    </row>
    <row r="1166" spans="1:9" x14ac:dyDescent="0.25">
      <c r="A1166" t="s">
        <v>1171</v>
      </c>
      <c r="B1166">
        <v>24584.2</v>
      </c>
      <c r="C1166">
        <v>24585.95</v>
      </c>
      <c r="D1166">
        <v>24575.75</v>
      </c>
      <c r="E1166">
        <v>24577.7</v>
      </c>
      <c r="F1166" s="2">
        <f t="shared" si="55"/>
        <v>10.200000000000728</v>
      </c>
      <c r="G1166" s="3">
        <f t="shared" si="53"/>
        <v>26.416022907225464</v>
      </c>
      <c r="H1166" t="str">
        <f t="shared" si="54"/>
        <v>2026-08</v>
      </c>
      <c r="I1166">
        <v>3</v>
      </c>
    </row>
    <row r="1167" spans="1:9" x14ac:dyDescent="0.25">
      <c r="A1167" t="s">
        <v>1172</v>
      </c>
      <c r="B1167">
        <v>24578.2</v>
      </c>
      <c r="C1167">
        <v>24592.05</v>
      </c>
      <c r="D1167">
        <v>24576.05</v>
      </c>
      <c r="E1167">
        <v>24589.7</v>
      </c>
      <c r="F1167" s="2">
        <f t="shared" si="55"/>
        <v>16</v>
      </c>
      <c r="G1167" s="3">
        <f t="shared" si="53"/>
        <v>25.672021270995071</v>
      </c>
      <c r="H1167" t="str">
        <f t="shared" si="54"/>
        <v>2026-08</v>
      </c>
      <c r="I1167">
        <v>3</v>
      </c>
    </row>
    <row r="1168" spans="1:9" x14ac:dyDescent="0.25">
      <c r="A1168" t="s">
        <v>1173</v>
      </c>
      <c r="B1168">
        <v>24589.25</v>
      </c>
      <c r="C1168">
        <v>24606.05</v>
      </c>
      <c r="D1168">
        <v>24581.200000000001</v>
      </c>
      <c r="E1168">
        <v>24596.1</v>
      </c>
      <c r="F1168" s="2">
        <f t="shared" si="55"/>
        <v>24.849999999998545</v>
      </c>
      <c r="G1168" s="3">
        <f t="shared" ref="G1168:G1231" si="56">(G1167*13+F1168)/14</f>
        <v>25.61330546592389</v>
      </c>
      <c r="H1168" t="str">
        <f t="shared" si="54"/>
        <v>2026-08</v>
      </c>
      <c r="I1168">
        <v>3</v>
      </c>
    </row>
    <row r="1169" spans="1:9" x14ac:dyDescent="0.25">
      <c r="A1169" t="s">
        <v>1174</v>
      </c>
      <c r="B1169">
        <v>24595.200000000001</v>
      </c>
      <c r="C1169">
        <v>24601.15</v>
      </c>
      <c r="D1169">
        <v>24581.7</v>
      </c>
      <c r="E1169">
        <v>24586.799999999999</v>
      </c>
      <c r="F1169" s="2">
        <f t="shared" si="55"/>
        <v>19.450000000000728</v>
      </c>
      <c r="G1169" s="3">
        <f t="shared" si="56"/>
        <v>25.173069361215092</v>
      </c>
      <c r="H1169" t="str">
        <f t="shared" si="54"/>
        <v>2026-08</v>
      </c>
      <c r="I1169">
        <v>3</v>
      </c>
    </row>
    <row r="1170" spans="1:9" x14ac:dyDescent="0.25">
      <c r="A1170" t="s">
        <v>1175</v>
      </c>
      <c r="B1170">
        <v>24586.7</v>
      </c>
      <c r="C1170">
        <v>24595.05</v>
      </c>
      <c r="D1170">
        <v>24583.5</v>
      </c>
      <c r="E1170">
        <v>24593.5</v>
      </c>
      <c r="F1170" s="2">
        <f t="shared" si="55"/>
        <v>11.549999999999272</v>
      </c>
      <c r="G1170" s="3">
        <f t="shared" si="56"/>
        <v>24.199992978271105</v>
      </c>
      <c r="H1170" t="str">
        <f t="shared" si="54"/>
        <v>2026-08</v>
      </c>
      <c r="I1170">
        <v>3</v>
      </c>
    </row>
    <row r="1171" spans="1:9" x14ac:dyDescent="0.25">
      <c r="A1171" t="s">
        <v>1176</v>
      </c>
      <c r="B1171">
        <v>24594.5</v>
      </c>
      <c r="C1171">
        <v>24595.05</v>
      </c>
      <c r="D1171">
        <v>24577.7</v>
      </c>
      <c r="E1171">
        <v>24589.85</v>
      </c>
      <c r="F1171" s="2">
        <f t="shared" si="55"/>
        <v>17.349999999998545</v>
      </c>
      <c r="G1171" s="3">
        <f t="shared" si="56"/>
        <v>23.710707765537354</v>
      </c>
      <c r="H1171" t="str">
        <f t="shared" si="54"/>
        <v>2026-08</v>
      </c>
      <c r="I1171">
        <v>3</v>
      </c>
    </row>
    <row r="1172" spans="1:9" x14ac:dyDescent="0.25">
      <c r="A1172" t="s">
        <v>1177</v>
      </c>
      <c r="B1172">
        <v>24589.45</v>
      </c>
      <c r="C1172">
        <v>24602</v>
      </c>
      <c r="D1172">
        <v>24585.4</v>
      </c>
      <c r="E1172">
        <v>24597.55</v>
      </c>
      <c r="F1172" s="2">
        <f t="shared" si="55"/>
        <v>16.599999999998545</v>
      </c>
      <c r="G1172" s="3">
        <f t="shared" si="56"/>
        <v>23.202800067998869</v>
      </c>
      <c r="H1172" t="str">
        <f t="shared" si="54"/>
        <v>2026-08</v>
      </c>
      <c r="I1172">
        <v>3</v>
      </c>
    </row>
    <row r="1173" spans="1:9" x14ac:dyDescent="0.25">
      <c r="A1173" t="s">
        <v>1178</v>
      </c>
      <c r="B1173">
        <v>24598.35</v>
      </c>
      <c r="C1173">
        <v>24602.75</v>
      </c>
      <c r="D1173">
        <v>24588.85</v>
      </c>
      <c r="E1173">
        <v>24595</v>
      </c>
      <c r="F1173" s="2">
        <f t="shared" si="55"/>
        <v>13.900000000001455</v>
      </c>
      <c r="G1173" s="3">
        <f t="shared" si="56"/>
        <v>22.538314348856197</v>
      </c>
      <c r="H1173" t="str">
        <f t="shared" si="54"/>
        <v>2026-08</v>
      </c>
      <c r="I1173">
        <v>3</v>
      </c>
    </row>
    <row r="1174" spans="1:9" x14ac:dyDescent="0.25">
      <c r="A1174" t="s">
        <v>1179</v>
      </c>
      <c r="B1174">
        <v>24594.85</v>
      </c>
      <c r="C1174">
        <v>24596.55</v>
      </c>
      <c r="D1174">
        <v>24554.2</v>
      </c>
      <c r="E1174">
        <v>24573.55</v>
      </c>
      <c r="F1174" s="2">
        <f t="shared" si="55"/>
        <v>42.349999999998545</v>
      </c>
      <c r="G1174" s="3">
        <f t="shared" si="56"/>
        <v>23.953434752509221</v>
      </c>
      <c r="H1174" t="str">
        <f t="shared" si="54"/>
        <v>2026-08</v>
      </c>
      <c r="I1174">
        <v>3</v>
      </c>
    </row>
    <row r="1175" spans="1:9" x14ac:dyDescent="0.25">
      <c r="A1175" t="s">
        <v>1180</v>
      </c>
      <c r="B1175">
        <v>24662.799999999999</v>
      </c>
      <c r="C1175">
        <v>24666.65</v>
      </c>
      <c r="D1175">
        <v>24589.85</v>
      </c>
      <c r="E1175">
        <v>24597.599999999999</v>
      </c>
      <c r="F1175" s="2">
        <f t="shared" si="55"/>
        <v>93.100000000002183</v>
      </c>
      <c r="G1175" s="3">
        <f t="shared" si="56"/>
        <v>28.892475127330147</v>
      </c>
      <c r="H1175" t="str">
        <f t="shared" si="54"/>
        <v>2026-08</v>
      </c>
      <c r="I1175">
        <v>3</v>
      </c>
    </row>
    <row r="1176" spans="1:9" x14ac:dyDescent="0.25">
      <c r="A1176" t="s">
        <v>1181</v>
      </c>
      <c r="B1176">
        <v>24598.5</v>
      </c>
      <c r="C1176">
        <v>24629.55</v>
      </c>
      <c r="D1176">
        <v>24589.35</v>
      </c>
      <c r="E1176">
        <v>24623.599999999999</v>
      </c>
      <c r="F1176" s="2">
        <f t="shared" si="55"/>
        <v>40.200000000000728</v>
      </c>
      <c r="G1176" s="3">
        <f t="shared" si="56"/>
        <v>29.700155475378047</v>
      </c>
      <c r="H1176" t="str">
        <f t="shared" si="54"/>
        <v>2026-08</v>
      </c>
      <c r="I1176">
        <v>3</v>
      </c>
    </row>
    <row r="1177" spans="1:9" x14ac:dyDescent="0.25">
      <c r="A1177" t="s">
        <v>1182</v>
      </c>
      <c r="B1177">
        <v>24623.7</v>
      </c>
      <c r="C1177">
        <v>24647.65</v>
      </c>
      <c r="D1177">
        <v>24621.85</v>
      </c>
      <c r="E1177">
        <v>24631.55</v>
      </c>
      <c r="F1177" s="2">
        <f t="shared" si="55"/>
        <v>25.80000000000291</v>
      </c>
      <c r="G1177" s="3">
        <f t="shared" si="56"/>
        <v>29.421572941422681</v>
      </c>
      <c r="H1177" t="str">
        <f t="shared" si="54"/>
        <v>2026-08</v>
      </c>
      <c r="I1177">
        <v>3</v>
      </c>
    </row>
    <row r="1178" spans="1:9" x14ac:dyDescent="0.25">
      <c r="A1178" t="s">
        <v>1183</v>
      </c>
      <c r="B1178">
        <v>24633.8</v>
      </c>
      <c r="C1178">
        <v>24634.75</v>
      </c>
      <c r="D1178">
        <v>24607.45</v>
      </c>
      <c r="E1178">
        <v>24615.5</v>
      </c>
      <c r="F1178" s="2">
        <f t="shared" si="55"/>
        <v>27.299999999999272</v>
      </c>
      <c r="G1178" s="3">
        <f t="shared" si="56"/>
        <v>29.270032017035298</v>
      </c>
      <c r="H1178" t="str">
        <f t="shared" si="54"/>
        <v>2026-08</v>
      </c>
      <c r="I1178">
        <v>3</v>
      </c>
    </row>
    <row r="1179" spans="1:9" x14ac:dyDescent="0.25">
      <c r="A1179" t="s">
        <v>1184</v>
      </c>
      <c r="B1179">
        <v>24617.599999999999</v>
      </c>
      <c r="C1179">
        <v>24620.75</v>
      </c>
      <c r="D1179">
        <v>24588.3</v>
      </c>
      <c r="E1179">
        <v>24592.799999999999</v>
      </c>
      <c r="F1179" s="2">
        <f t="shared" si="55"/>
        <v>32.450000000000728</v>
      </c>
      <c r="G1179" s="3">
        <f t="shared" si="56"/>
        <v>29.497172587247114</v>
      </c>
      <c r="H1179" t="str">
        <f t="shared" si="54"/>
        <v>2026-08</v>
      </c>
      <c r="I1179">
        <v>3</v>
      </c>
    </row>
    <row r="1180" spans="1:9" x14ac:dyDescent="0.25">
      <c r="A1180" t="s">
        <v>1185</v>
      </c>
      <c r="B1180">
        <v>24594.15</v>
      </c>
      <c r="C1180">
        <v>24594.95</v>
      </c>
      <c r="D1180">
        <v>24578.6</v>
      </c>
      <c r="E1180">
        <v>24582</v>
      </c>
      <c r="F1180" s="2">
        <f t="shared" si="55"/>
        <v>16.350000000002183</v>
      </c>
      <c r="G1180" s="3">
        <f t="shared" si="56"/>
        <v>28.558088831015333</v>
      </c>
      <c r="H1180" t="str">
        <f t="shared" si="54"/>
        <v>2026-08</v>
      </c>
      <c r="I1180">
        <v>3</v>
      </c>
    </row>
    <row r="1181" spans="1:9" x14ac:dyDescent="0.25">
      <c r="A1181" t="s">
        <v>1186</v>
      </c>
      <c r="B1181">
        <v>24583.95</v>
      </c>
      <c r="C1181">
        <v>24588.9</v>
      </c>
      <c r="D1181">
        <v>24569</v>
      </c>
      <c r="E1181">
        <v>24575.4</v>
      </c>
      <c r="F1181" s="2">
        <f t="shared" si="55"/>
        <v>19.900000000001455</v>
      </c>
      <c r="G1181" s="3">
        <f t="shared" si="56"/>
        <v>27.939653914514341</v>
      </c>
      <c r="H1181" t="str">
        <f t="shared" si="54"/>
        <v>2026-08</v>
      </c>
      <c r="I1181">
        <v>3</v>
      </c>
    </row>
    <row r="1182" spans="1:9" x14ac:dyDescent="0.25">
      <c r="A1182" t="s">
        <v>1187</v>
      </c>
      <c r="B1182">
        <v>24577.95</v>
      </c>
      <c r="C1182">
        <v>24593.7</v>
      </c>
      <c r="D1182">
        <v>24576.15</v>
      </c>
      <c r="E1182">
        <v>24590.9</v>
      </c>
      <c r="F1182" s="2">
        <f t="shared" si="55"/>
        <v>18.299999999999272</v>
      </c>
      <c r="G1182" s="3">
        <f t="shared" si="56"/>
        <v>27.251107206334694</v>
      </c>
      <c r="H1182" t="str">
        <f t="shared" si="54"/>
        <v>2026-08</v>
      </c>
      <c r="I1182">
        <v>3</v>
      </c>
    </row>
    <row r="1183" spans="1:9" x14ac:dyDescent="0.25">
      <c r="A1183" t="s">
        <v>1188</v>
      </c>
      <c r="B1183">
        <v>24593.3</v>
      </c>
      <c r="C1183">
        <v>24598.799999999999</v>
      </c>
      <c r="D1183">
        <v>24575.599999999999</v>
      </c>
      <c r="E1183">
        <v>24577.05</v>
      </c>
      <c r="F1183" s="2">
        <f t="shared" si="55"/>
        <v>23.200000000000728</v>
      </c>
      <c r="G1183" s="3">
        <f t="shared" si="56"/>
        <v>26.961742405882269</v>
      </c>
      <c r="H1183" t="str">
        <f t="shared" si="54"/>
        <v>2026-08</v>
      </c>
      <c r="I1183">
        <v>3</v>
      </c>
    </row>
    <row r="1184" spans="1:9" x14ac:dyDescent="0.25">
      <c r="A1184" t="s">
        <v>1189</v>
      </c>
      <c r="B1184">
        <v>24579.55</v>
      </c>
      <c r="C1184">
        <v>24579.55</v>
      </c>
      <c r="D1184">
        <v>24553.7</v>
      </c>
      <c r="E1184">
        <v>24555.45</v>
      </c>
      <c r="F1184" s="2">
        <f t="shared" si="55"/>
        <v>25.849999999998545</v>
      </c>
      <c r="G1184" s="3">
        <f t="shared" si="56"/>
        <v>26.882332234033434</v>
      </c>
      <c r="H1184" t="str">
        <f t="shared" si="54"/>
        <v>2026-08</v>
      </c>
      <c r="I1184">
        <v>3</v>
      </c>
    </row>
    <row r="1185" spans="1:9" x14ac:dyDescent="0.25">
      <c r="A1185" t="s">
        <v>1190</v>
      </c>
      <c r="B1185">
        <v>24557.5</v>
      </c>
      <c r="C1185">
        <v>24557.5</v>
      </c>
      <c r="D1185">
        <v>24521.85</v>
      </c>
      <c r="E1185">
        <v>24524.15</v>
      </c>
      <c r="F1185" s="2">
        <f t="shared" si="55"/>
        <v>35.650000000001455</v>
      </c>
      <c r="G1185" s="3">
        <f t="shared" si="56"/>
        <v>27.508594217316865</v>
      </c>
      <c r="H1185" t="str">
        <f t="shared" si="54"/>
        <v>2026-08</v>
      </c>
      <c r="I1185">
        <v>3</v>
      </c>
    </row>
    <row r="1186" spans="1:9" x14ac:dyDescent="0.25">
      <c r="A1186" t="s">
        <v>1191</v>
      </c>
      <c r="B1186">
        <v>24524.75</v>
      </c>
      <c r="C1186">
        <v>24529.1</v>
      </c>
      <c r="D1186">
        <v>24496.7</v>
      </c>
      <c r="E1186">
        <v>24511.3</v>
      </c>
      <c r="F1186" s="2">
        <f t="shared" si="55"/>
        <v>32.399999999997817</v>
      </c>
      <c r="G1186" s="3">
        <f t="shared" si="56"/>
        <v>27.857980344651221</v>
      </c>
      <c r="H1186" t="str">
        <f t="shared" si="54"/>
        <v>2026-08</v>
      </c>
      <c r="I1186">
        <v>3</v>
      </c>
    </row>
    <row r="1187" spans="1:9" x14ac:dyDescent="0.25">
      <c r="A1187" t="s">
        <v>1192</v>
      </c>
      <c r="B1187">
        <v>24513.4</v>
      </c>
      <c r="C1187">
        <v>24524.35</v>
      </c>
      <c r="D1187">
        <v>24505.4</v>
      </c>
      <c r="E1187">
        <v>24515.7</v>
      </c>
      <c r="F1187" s="2">
        <f t="shared" si="55"/>
        <v>18.94999999999709</v>
      </c>
      <c r="G1187" s="3">
        <f t="shared" si="56"/>
        <v>27.221696034318786</v>
      </c>
      <c r="H1187" t="str">
        <f t="shared" si="54"/>
        <v>2026-08</v>
      </c>
      <c r="I1187">
        <v>3</v>
      </c>
    </row>
    <row r="1188" spans="1:9" x14ac:dyDescent="0.25">
      <c r="A1188" t="s">
        <v>1193</v>
      </c>
      <c r="B1188">
        <v>24517.65</v>
      </c>
      <c r="C1188">
        <v>24519.65</v>
      </c>
      <c r="D1188">
        <v>24488.1</v>
      </c>
      <c r="E1188">
        <v>24493.35</v>
      </c>
      <c r="F1188" s="2">
        <f t="shared" si="55"/>
        <v>31.55000000000291</v>
      </c>
      <c r="G1188" s="3">
        <f t="shared" si="56"/>
        <v>27.530860603296222</v>
      </c>
      <c r="H1188" t="str">
        <f t="shared" si="54"/>
        <v>2026-08</v>
      </c>
      <c r="I1188">
        <v>3</v>
      </c>
    </row>
    <row r="1189" spans="1:9" x14ac:dyDescent="0.25">
      <c r="A1189" t="s">
        <v>1194</v>
      </c>
      <c r="B1189">
        <v>24495</v>
      </c>
      <c r="C1189">
        <v>24509.8</v>
      </c>
      <c r="D1189">
        <v>24489.35</v>
      </c>
      <c r="E1189">
        <v>24491.75</v>
      </c>
      <c r="F1189" s="2">
        <f t="shared" si="55"/>
        <v>20.450000000000728</v>
      </c>
      <c r="G1189" s="3">
        <f t="shared" si="56"/>
        <v>27.025084845917974</v>
      </c>
      <c r="H1189" t="str">
        <f t="shared" si="54"/>
        <v>2026-08</v>
      </c>
      <c r="I1189">
        <v>3</v>
      </c>
    </row>
    <row r="1190" spans="1:9" x14ac:dyDescent="0.25">
      <c r="A1190" t="s">
        <v>1195</v>
      </c>
      <c r="B1190">
        <v>24493.4</v>
      </c>
      <c r="C1190">
        <v>24500.85</v>
      </c>
      <c r="D1190">
        <v>24477.35</v>
      </c>
      <c r="E1190">
        <v>24479.599999999999</v>
      </c>
      <c r="F1190" s="2">
        <f t="shared" si="55"/>
        <v>23.5</v>
      </c>
      <c r="G1190" s="3">
        <f t="shared" si="56"/>
        <v>26.773293071209544</v>
      </c>
      <c r="H1190" t="str">
        <f t="shared" si="54"/>
        <v>2026-08</v>
      </c>
      <c r="I1190">
        <v>3</v>
      </c>
    </row>
    <row r="1191" spans="1:9" x14ac:dyDescent="0.25">
      <c r="A1191" t="s">
        <v>1196</v>
      </c>
      <c r="B1191">
        <v>24481.7</v>
      </c>
      <c r="C1191">
        <v>24493.45</v>
      </c>
      <c r="D1191">
        <v>24469.35</v>
      </c>
      <c r="E1191">
        <v>24471.200000000001</v>
      </c>
      <c r="F1191" s="2">
        <f t="shared" si="55"/>
        <v>24.100000000002183</v>
      </c>
      <c r="G1191" s="3">
        <f t="shared" si="56"/>
        <v>26.582343566123306</v>
      </c>
      <c r="H1191" t="str">
        <f t="shared" si="54"/>
        <v>2026-08</v>
      </c>
      <c r="I1191">
        <v>3</v>
      </c>
    </row>
    <row r="1192" spans="1:9" x14ac:dyDescent="0.25">
      <c r="A1192" t="s">
        <v>1197</v>
      </c>
      <c r="B1192">
        <v>24473.5</v>
      </c>
      <c r="C1192">
        <v>24474</v>
      </c>
      <c r="D1192">
        <v>24453.65</v>
      </c>
      <c r="E1192">
        <v>24453.8</v>
      </c>
      <c r="F1192" s="2">
        <f t="shared" si="55"/>
        <v>20.349999999998545</v>
      </c>
      <c r="G1192" s="3">
        <f t="shared" si="56"/>
        <v>26.137176168542965</v>
      </c>
      <c r="H1192" t="str">
        <f t="shared" si="54"/>
        <v>2026-08</v>
      </c>
      <c r="I1192">
        <v>3</v>
      </c>
    </row>
    <row r="1193" spans="1:9" x14ac:dyDescent="0.25">
      <c r="A1193" t="s">
        <v>1198</v>
      </c>
      <c r="B1193">
        <v>24454.799999999999</v>
      </c>
      <c r="C1193">
        <v>24468.45</v>
      </c>
      <c r="D1193">
        <v>24427.95</v>
      </c>
      <c r="E1193">
        <v>24448.9</v>
      </c>
      <c r="F1193" s="2">
        <f t="shared" si="55"/>
        <v>40.5</v>
      </c>
      <c r="G1193" s="3">
        <f t="shared" si="56"/>
        <v>27.163092156504181</v>
      </c>
      <c r="H1193" t="str">
        <f t="shared" si="54"/>
        <v>2026-08</v>
      </c>
      <c r="I1193">
        <v>3</v>
      </c>
    </row>
    <row r="1194" spans="1:9" x14ac:dyDescent="0.25">
      <c r="A1194" t="s">
        <v>1199</v>
      </c>
      <c r="B1194">
        <v>24450.6</v>
      </c>
      <c r="C1194">
        <v>24463.3</v>
      </c>
      <c r="D1194">
        <v>24436.15</v>
      </c>
      <c r="E1194">
        <v>24462.35</v>
      </c>
      <c r="F1194" s="2">
        <f t="shared" si="55"/>
        <v>27.149999999997817</v>
      </c>
      <c r="G1194" s="3">
        <f t="shared" si="56"/>
        <v>27.16215700246801</v>
      </c>
      <c r="H1194" t="str">
        <f t="shared" si="54"/>
        <v>2026-08</v>
      </c>
      <c r="I1194">
        <v>3</v>
      </c>
    </row>
    <row r="1195" spans="1:9" x14ac:dyDescent="0.25">
      <c r="A1195" t="s">
        <v>1200</v>
      </c>
      <c r="B1195">
        <v>24463.8</v>
      </c>
      <c r="C1195">
        <v>24494.3</v>
      </c>
      <c r="D1195">
        <v>24460.45</v>
      </c>
      <c r="E1195">
        <v>24470.5</v>
      </c>
      <c r="F1195" s="2">
        <f t="shared" si="55"/>
        <v>33.849999999998545</v>
      </c>
      <c r="G1195" s="3">
        <f t="shared" si="56"/>
        <v>27.639860073720193</v>
      </c>
      <c r="H1195" t="str">
        <f t="shared" si="54"/>
        <v>2026-08</v>
      </c>
      <c r="I1195">
        <v>3</v>
      </c>
    </row>
    <row r="1196" spans="1:9" x14ac:dyDescent="0.25">
      <c r="A1196" t="s">
        <v>1201</v>
      </c>
      <c r="B1196">
        <v>24470.1</v>
      </c>
      <c r="C1196">
        <v>24490.3</v>
      </c>
      <c r="D1196">
        <v>24456.3</v>
      </c>
      <c r="E1196">
        <v>24456.65</v>
      </c>
      <c r="F1196" s="2">
        <f t="shared" si="55"/>
        <v>34</v>
      </c>
      <c r="G1196" s="3">
        <f t="shared" si="56"/>
        <v>28.094155782740181</v>
      </c>
      <c r="H1196" t="str">
        <f t="shared" si="54"/>
        <v>2026-08</v>
      </c>
      <c r="I1196">
        <v>3</v>
      </c>
    </row>
    <row r="1197" spans="1:9" x14ac:dyDescent="0.25">
      <c r="A1197" t="s">
        <v>1202</v>
      </c>
      <c r="B1197">
        <v>24459.4</v>
      </c>
      <c r="C1197">
        <v>24481.45</v>
      </c>
      <c r="D1197">
        <v>24455.95</v>
      </c>
      <c r="E1197">
        <v>24465.85</v>
      </c>
      <c r="F1197" s="2">
        <f t="shared" si="55"/>
        <v>25.5</v>
      </c>
      <c r="G1197" s="3">
        <f t="shared" si="56"/>
        <v>27.908858941115881</v>
      </c>
      <c r="H1197" t="str">
        <f t="shared" si="54"/>
        <v>2026-08</v>
      </c>
      <c r="I1197">
        <v>3</v>
      </c>
    </row>
    <row r="1198" spans="1:9" x14ac:dyDescent="0.25">
      <c r="A1198" t="s">
        <v>1203</v>
      </c>
      <c r="B1198">
        <v>24469.1</v>
      </c>
      <c r="C1198">
        <v>24474.3</v>
      </c>
      <c r="D1198">
        <v>24443.599999999999</v>
      </c>
      <c r="E1198">
        <v>24462.95</v>
      </c>
      <c r="F1198" s="2">
        <f t="shared" si="55"/>
        <v>30.700000000000728</v>
      </c>
      <c r="G1198" s="3">
        <f t="shared" si="56"/>
        <v>28.108226159607657</v>
      </c>
      <c r="H1198" t="str">
        <f t="shared" si="54"/>
        <v>2026-08</v>
      </c>
      <c r="I1198">
        <v>3</v>
      </c>
    </row>
    <row r="1199" spans="1:9" x14ac:dyDescent="0.25">
      <c r="A1199" t="s">
        <v>1204</v>
      </c>
      <c r="B1199">
        <v>24677.599999999999</v>
      </c>
      <c r="C1199">
        <v>24677.599999999999</v>
      </c>
      <c r="D1199">
        <v>24611</v>
      </c>
      <c r="E1199">
        <v>24621.45</v>
      </c>
      <c r="F1199" s="2">
        <f t="shared" si="55"/>
        <v>214.64999999999782</v>
      </c>
      <c r="G1199" s="3">
        <f t="shared" si="56"/>
        <v>41.43263857677838</v>
      </c>
      <c r="H1199" t="str">
        <f t="shared" si="54"/>
        <v>2026-08</v>
      </c>
      <c r="I1199">
        <v>3</v>
      </c>
    </row>
    <row r="1200" spans="1:9" x14ac:dyDescent="0.25">
      <c r="A1200" t="s">
        <v>1205</v>
      </c>
      <c r="B1200">
        <v>24621.4</v>
      </c>
      <c r="C1200">
        <v>24635.95</v>
      </c>
      <c r="D1200">
        <v>24604.6</v>
      </c>
      <c r="E1200">
        <v>24627.95</v>
      </c>
      <c r="F1200" s="2">
        <f t="shared" si="55"/>
        <v>31.350000000002183</v>
      </c>
      <c r="G1200" s="3">
        <f t="shared" si="56"/>
        <v>40.71245010700865</v>
      </c>
      <c r="H1200" t="str">
        <f t="shared" si="54"/>
        <v>2026-08</v>
      </c>
      <c r="I1200">
        <v>3</v>
      </c>
    </row>
    <row r="1201" spans="1:9" x14ac:dyDescent="0.25">
      <c r="A1201" t="s">
        <v>1206</v>
      </c>
      <c r="B1201">
        <v>24628.05</v>
      </c>
      <c r="C1201">
        <v>24631.7</v>
      </c>
      <c r="D1201">
        <v>24581.55</v>
      </c>
      <c r="E1201">
        <v>24594.05</v>
      </c>
      <c r="F1201" s="2">
        <f t="shared" si="55"/>
        <v>50.150000000001455</v>
      </c>
      <c r="G1201" s="3">
        <f t="shared" si="56"/>
        <v>41.386560813650995</v>
      </c>
      <c r="H1201" t="str">
        <f t="shared" si="54"/>
        <v>2026-08</v>
      </c>
      <c r="I1201">
        <v>3</v>
      </c>
    </row>
    <row r="1202" spans="1:9" x14ac:dyDescent="0.25">
      <c r="A1202" t="s">
        <v>1207</v>
      </c>
      <c r="B1202">
        <v>24594.25</v>
      </c>
      <c r="C1202">
        <v>24623.200000000001</v>
      </c>
      <c r="D1202">
        <v>24588.45</v>
      </c>
      <c r="E1202">
        <v>24620.9</v>
      </c>
      <c r="F1202" s="2">
        <f t="shared" si="55"/>
        <v>34.75</v>
      </c>
      <c r="G1202" s="3">
        <f t="shared" si="56"/>
        <v>40.912520755533066</v>
      </c>
      <c r="H1202" t="str">
        <f t="shared" si="54"/>
        <v>2026-08</v>
      </c>
      <c r="I1202">
        <v>3</v>
      </c>
    </row>
    <row r="1203" spans="1:9" x14ac:dyDescent="0.25">
      <c r="A1203" t="s">
        <v>1208</v>
      </c>
      <c r="B1203">
        <v>24621.25</v>
      </c>
      <c r="C1203">
        <v>24621.75</v>
      </c>
      <c r="D1203">
        <v>24580.45</v>
      </c>
      <c r="E1203">
        <v>24582.400000000001</v>
      </c>
      <c r="F1203" s="2">
        <f t="shared" si="55"/>
        <v>41.299999999999272</v>
      </c>
      <c r="G1203" s="3">
        <f t="shared" si="56"/>
        <v>40.940197844423508</v>
      </c>
      <c r="H1203" t="str">
        <f t="shared" si="54"/>
        <v>2026-08</v>
      </c>
      <c r="I1203">
        <v>3</v>
      </c>
    </row>
    <row r="1204" spans="1:9" x14ac:dyDescent="0.25">
      <c r="A1204" t="s">
        <v>1209</v>
      </c>
      <c r="B1204">
        <v>24582.15</v>
      </c>
      <c r="C1204">
        <v>24605.05</v>
      </c>
      <c r="D1204">
        <v>24562.2</v>
      </c>
      <c r="E1204">
        <v>24594.400000000001</v>
      </c>
      <c r="F1204" s="2">
        <f t="shared" si="55"/>
        <v>42.849999999998545</v>
      </c>
      <c r="G1204" s="3">
        <f t="shared" si="56"/>
        <v>41.076612284107441</v>
      </c>
      <c r="H1204" t="str">
        <f t="shared" si="54"/>
        <v>2026-08</v>
      </c>
      <c r="I1204">
        <v>3</v>
      </c>
    </row>
    <row r="1205" spans="1:9" x14ac:dyDescent="0.25">
      <c r="A1205" t="s">
        <v>1210</v>
      </c>
      <c r="B1205">
        <v>24596.25</v>
      </c>
      <c r="C1205">
        <v>24644.75</v>
      </c>
      <c r="D1205">
        <v>24593.9</v>
      </c>
      <c r="E1205">
        <v>24643.05</v>
      </c>
      <c r="F1205" s="2">
        <f t="shared" si="55"/>
        <v>50.849999999998545</v>
      </c>
      <c r="G1205" s="3">
        <f t="shared" si="56"/>
        <v>41.774711406671088</v>
      </c>
      <c r="H1205" t="str">
        <f t="shared" si="54"/>
        <v>2026-08</v>
      </c>
      <c r="I1205">
        <v>3</v>
      </c>
    </row>
    <row r="1206" spans="1:9" x14ac:dyDescent="0.25">
      <c r="A1206" t="s">
        <v>1211</v>
      </c>
      <c r="B1206">
        <v>24643.5</v>
      </c>
      <c r="C1206">
        <v>24662.6</v>
      </c>
      <c r="D1206">
        <v>24617.9</v>
      </c>
      <c r="E1206">
        <v>24631.4</v>
      </c>
      <c r="F1206" s="2">
        <f t="shared" si="55"/>
        <v>44.69999999999709</v>
      </c>
      <c r="G1206" s="3">
        <f t="shared" si="56"/>
        <v>41.983660591908652</v>
      </c>
      <c r="H1206" t="str">
        <f t="shared" si="54"/>
        <v>2026-08</v>
      </c>
      <c r="I1206">
        <v>3</v>
      </c>
    </row>
    <row r="1207" spans="1:9" x14ac:dyDescent="0.25">
      <c r="A1207" t="s">
        <v>1212</v>
      </c>
      <c r="B1207">
        <v>24631.45</v>
      </c>
      <c r="C1207">
        <v>24637.65</v>
      </c>
      <c r="D1207">
        <v>24608</v>
      </c>
      <c r="E1207">
        <v>24611.25</v>
      </c>
      <c r="F1207" s="2">
        <f t="shared" si="55"/>
        <v>29.650000000001455</v>
      </c>
      <c r="G1207" s="3">
        <f t="shared" si="56"/>
        <v>41.102684835343851</v>
      </c>
      <c r="H1207" t="str">
        <f t="shared" si="54"/>
        <v>2026-08</v>
      </c>
      <c r="I1207">
        <v>3</v>
      </c>
    </row>
    <row r="1208" spans="1:9" x14ac:dyDescent="0.25">
      <c r="A1208" t="s">
        <v>1213</v>
      </c>
      <c r="B1208">
        <v>24610.95</v>
      </c>
      <c r="C1208">
        <v>24612.25</v>
      </c>
      <c r="D1208">
        <v>24586.5</v>
      </c>
      <c r="E1208">
        <v>24594.400000000001</v>
      </c>
      <c r="F1208" s="2">
        <f t="shared" si="55"/>
        <v>25.75</v>
      </c>
      <c r="G1208" s="3">
        <f t="shared" si="56"/>
        <v>40.006064489962149</v>
      </c>
      <c r="H1208" t="str">
        <f t="shared" si="54"/>
        <v>2026-08</v>
      </c>
      <c r="I1208">
        <v>3</v>
      </c>
    </row>
    <row r="1209" spans="1:9" x14ac:dyDescent="0.25">
      <c r="A1209" t="s">
        <v>1214</v>
      </c>
      <c r="B1209">
        <v>24595.75</v>
      </c>
      <c r="C1209">
        <v>24595.75</v>
      </c>
      <c r="D1209">
        <v>24561.5</v>
      </c>
      <c r="E1209">
        <v>24570.95</v>
      </c>
      <c r="F1209" s="2">
        <f t="shared" si="55"/>
        <v>34.25</v>
      </c>
      <c r="G1209" s="3">
        <f t="shared" si="56"/>
        <v>39.594917026393425</v>
      </c>
      <c r="H1209" t="str">
        <f t="shared" si="54"/>
        <v>2026-08</v>
      </c>
      <c r="I1209">
        <v>3</v>
      </c>
    </row>
    <row r="1210" spans="1:9" x14ac:dyDescent="0.25">
      <c r="A1210" t="s">
        <v>1215</v>
      </c>
      <c r="B1210">
        <v>24570.05</v>
      </c>
      <c r="C1210">
        <v>24579.05</v>
      </c>
      <c r="D1210">
        <v>24564.75</v>
      </c>
      <c r="E1210">
        <v>24573.599999999999</v>
      </c>
      <c r="F1210" s="2">
        <f t="shared" si="55"/>
        <v>14.299999999999272</v>
      </c>
      <c r="G1210" s="3">
        <f t="shared" si="56"/>
        <v>37.788137238793844</v>
      </c>
      <c r="H1210" t="str">
        <f t="shared" si="54"/>
        <v>2026-08</v>
      </c>
      <c r="I1210">
        <v>3</v>
      </c>
    </row>
    <row r="1211" spans="1:9" x14ac:dyDescent="0.25">
      <c r="A1211" t="s">
        <v>1216</v>
      </c>
      <c r="B1211">
        <v>24572.85</v>
      </c>
      <c r="C1211">
        <v>24580.35</v>
      </c>
      <c r="D1211">
        <v>24560.75</v>
      </c>
      <c r="E1211">
        <v>24566.9</v>
      </c>
      <c r="F1211" s="2">
        <f t="shared" si="55"/>
        <v>19.599999999998545</v>
      </c>
      <c r="G1211" s="3">
        <f t="shared" si="56"/>
        <v>36.488984578879894</v>
      </c>
      <c r="H1211" t="str">
        <f t="shared" si="54"/>
        <v>2026-08</v>
      </c>
      <c r="I1211">
        <v>3</v>
      </c>
    </row>
    <row r="1212" spans="1:9" x14ac:dyDescent="0.25">
      <c r="A1212" t="s">
        <v>1217</v>
      </c>
      <c r="B1212">
        <v>24567.3</v>
      </c>
      <c r="C1212">
        <v>24568.3</v>
      </c>
      <c r="D1212">
        <v>24525.35</v>
      </c>
      <c r="E1212">
        <v>24532.05</v>
      </c>
      <c r="F1212" s="2">
        <f t="shared" si="55"/>
        <v>42.950000000000728</v>
      </c>
      <c r="G1212" s="3">
        <f t="shared" si="56"/>
        <v>36.950485680388525</v>
      </c>
      <c r="H1212" t="str">
        <f t="shared" si="54"/>
        <v>2026-08</v>
      </c>
      <c r="I1212">
        <v>3</v>
      </c>
    </row>
    <row r="1213" spans="1:9" x14ac:dyDescent="0.25">
      <c r="A1213" t="s">
        <v>1218</v>
      </c>
      <c r="B1213">
        <v>24531.85</v>
      </c>
      <c r="C1213">
        <v>24535.1</v>
      </c>
      <c r="D1213">
        <v>24515.599999999999</v>
      </c>
      <c r="E1213">
        <v>24516.1</v>
      </c>
      <c r="F1213" s="2">
        <f t="shared" si="55"/>
        <v>19.5</v>
      </c>
      <c r="G1213" s="3">
        <f t="shared" si="56"/>
        <v>35.70402241750363</v>
      </c>
      <c r="H1213" t="str">
        <f t="shared" si="54"/>
        <v>2026-08</v>
      </c>
      <c r="I1213">
        <v>3</v>
      </c>
    </row>
    <row r="1214" spans="1:9" x14ac:dyDescent="0.25">
      <c r="A1214" t="s">
        <v>1219</v>
      </c>
      <c r="B1214">
        <v>24516.35</v>
      </c>
      <c r="C1214">
        <v>24540.1</v>
      </c>
      <c r="D1214">
        <v>24508.45</v>
      </c>
      <c r="E1214">
        <v>24535.05</v>
      </c>
      <c r="F1214" s="2">
        <f t="shared" si="55"/>
        <v>31.649999999997817</v>
      </c>
      <c r="G1214" s="3">
        <f t="shared" si="56"/>
        <v>35.414449387681785</v>
      </c>
      <c r="H1214" t="str">
        <f t="shared" si="54"/>
        <v>2026-08</v>
      </c>
      <c r="I1214">
        <v>3</v>
      </c>
    </row>
    <row r="1215" spans="1:9" x14ac:dyDescent="0.25">
      <c r="A1215" t="s">
        <v>1220</v>
      </c>
      <c r="B1215">
        <v>24534.95</v>
      </c>
      <c r="C1215">
        <v>24559.3</v>
      </c>
      <c r="D1215">
        <v>24515.75</v>
      </c>
      <c r="E1215">
        <v>24528.7</v>
      </c>
      <c r="F1215" s="2">
        <f t="shared" si="55"/>
        <v>43.549999999999272</v>
      </c>
      <c r="G1215" s="3">
        <f t="shared" si="56"/>
        <v>35.995560145704459</v>
      </c>
      <c r="H1215" t="str">
        <f t="shared" si="54"/>
        <v>2026-08</v>
      </c>
      <c r="I1215">
        <v>3</v>
      </c>
    </row>
    <row r="1216" spans="1:9" x14ac:dyDescent="0.25">
      <c r="A1216" t="s">
        <v>1221</v>
      </c>
      <c r="B1216">
        <v>24528.55</v>
      </c>
      <c r="C1216">
        <v>24535.1</v>
      </c>
      <c r="D1216">
        <v>24498.400000000001</v>
      </c>
      <c r="E1216">
        <v>24503.15</v>
      </c>
      <c r="F1216" s="2">
        <f t="shared" si="55"/>
        <v>36.69999999999709</v>
      </c>
      <c r="G1216" s="3">
        <f t="shared" si="56"/>
        <v>36.045877278153931</v>
      </c>
      <c r="H1216" t="str">
        <f t="shared" si="54"/>
        <v>2026-08</v>
      </c>
      <c r="I1216">
        <v>3</v>
      </c>
    </row>
    <row r="1217" spans="1:9" x14ac:dyDescent="0.25">
      <c r="A1217" t="s">
        <v>1222</v>
      </c>
      <c r="B1217">
        <v>24502.95</v>
      </c>
      <c r="C1217">
        <v>24532.5</v>
      </c>
      <c r="D1217">
        <v>24502.1</v>
      </c>
      <c r="E1217">
        <v>24514.55</v>
      </c>
      <c r="F1217" s="2">
        <f t="shared" si="55"/>
        <v>30.400000000001455</v>
      </c>
      <c r="G1217" s="3">
        <f t="shared" si="56"/>
        <v>35.642600329714469</v>
      </c>
      <c r="H1217" t="str">
        <f t="shared" si="54"/>
        <v>2026-08</v>
      </c>
      <c r="I1217">
        <v>3</v>
      </c>
    </row>
    <row r="1218" spans="1:9" x14ac:dyDescent="0.25">
      <c r="A1218" t="s">
        <v>1223</v>
      </c>
      <c r="B1218">
        <v>24514.45</v>
      </c>
      <c r="C1218">
        <v>24534.3</v>
      </c>
      <c r="D1218">
        <v>24512.6</v>
      </c>
      <c r="E1218">
        <v>24513.65</v>
      </c>
      <c r="F1218" s="2">
        <f t="shared" si="55"/>
        <v>21.700000000000728</v>
      </c>
      <c r="G1218" s="3">
        <f t="shared" si="56"/>
        <v>34.646700306163488</v>
      </c>
      <c r="H1218" t="str">
        <f t="shared" ref="H1218:H1281" si="57">LEFT(A1218,7)</f>
        <v>2026-08</v>
      </c>
      <c r="I1218">
        <v>3</v>
      </c>
    </row>
    <row r="1219" spans="1:9" x14ac:dyDescent="0.25">
      <c r="A1219" t="s">
        <v>1224</v>
      </c>
      <c r="B1219">
        <v>24513.25</v>
      </c>
      <c r="C1219">
        <v>24516.799999999999</v>
      </c>
      <c r="D1219">
        <v>24497.95</v>
      </c>
      <c r="E1219">
        <v>24504.5</v>
      </c>
      <c r="F1219" s="2">
        <f t="shared" ref="F1219:F1282" si="58">MAX(C1219-D1219,ABS(C1219-E1218),ABS(D1219-E1218))</f>
        <v>18.849999999998545</v>
      </c>
      <c r="G1219" s="3">
        <f t="shared" si="56"/>
        <v>33.518364570008849</v>
      </c>
      <c r="H1219" t="str">
        <f t="shared" si="57"/>
        <v>2026-08</v>
      </c>
      <c r="I1219">
        <v>3</v>
      </c>
    </row>
    <row r="1220" spans="1:9" x14ac:dyDescent="0.25">
      <c r="A1220" t="s">
        <v>1225</v>
      </c>
      <c r="B1220">
        <v>24504.75</v>
      </c>
      <c r="C1220">
        <v>24520.35</v>
      </c>
      <c r="D1220">
        <v>24500.75</v>
      </c>
      <c r="E1220">
        <v>24505.7</v>
      </c>
      <c r="F1220" s="2">
        <f t="shared" si="58"/>
        <v>19.599999999998545</v>
      </c>
      <c r="G1220" s="3">
        <f t="shared" si="56"/>
        <v>32.524195672150974</v>
      </c>
      <c r="H1220" t="str">
        <f t="shared" si="57"/>
        <v>2026-08</v>
      </c>
      <c r="I1220">
        <v>3</v>
      </c>
    </row>
    <row r="1221" spans="1:9" x14ac:dyDescent="0.25">
      <c r="A1221" t="s">
        <v>1226</v>
      </c>
      <c r="B1221">
        <v>24505</v>
      </c>
      <c r="C1221">
        <v>24530.799999999999</v>
      </c>
      <c r="D1221">
        <v>24503.85</v>
      </c>
      <c r="E1221">
        <v>24524.2</v>
      </c>
      <c r="F1221" s="2">
        <f t="shared" si="58"/>
        <v>26.950000000000728</v>
      </c>
      <c r="G1221" s="3">
        <f t="shared" si="56"/>
        <v>32.126038838425956</v>
      </c>
      <c r="H1221" t="str">
        <f t="shared" si="57"/>
        <v>2026-08</v>
      </c>
      <c r="I1221">
        <v>3</v>
      </c>
    </row>
    <row r="1222" spans="1:9" x14ac:dyDescent="0.25">
      <c r="A1222" t="s">
        <v>1227</v>
      </c>
      <c r="B1222">
        <v>24523.8</v>
      </c>
      <c r="C1222">
        <v>24575.75</v>
      </c>
      <c r="D1222">
        <v>24517.3</v>
      </c>
      <c r="E1222">
        <v>24572.25</v>
      </c>
      <c r="F1222" s="2">
        <f t="shared" si="58"/>
        <v>58.450000000000728</v>
      </c>
      <c r="G1222" s="3">
        <f t="shared" si="56"/>
        <v>34.006321778538442</v>
      </c>
      <c r="H1222" t="str">
        <f t="shared" si="57"/>
        <v>2026-08</v>
      </c>
      <c r="I1222">
        <v>3</v>
      </c>
    </row>
    <row r="1223" spans="1:9" x14ac:dyDescent="0.25">
      <c r="A1223" t="s">
        <v>1228</v>
      </c>
      <c r="B1223">
        <v>24627.95</v>
      </c>
      <c r="C1223">
        <v>24648.2</v>
      </c>
      <c r="D1223">
        <v>24604.15</v>
      </c>
      <c r="E1223">
        <v>24635.25</v>
      </c>
      <c r="F1223" s="2">
        <f t="shared" si="58"/>
        <v>75.950000000000728</v>
      </c>
      <c r="G1223" s="3">
        <f t="shared" si="56"/>
        <v>37.002298794357174</v>
      </c>
      <c r="H1223" t="str">
        <f t="shared" si="57"/>
        <v>2026-08</v>
      </c>
      <c r="I1223">
        <v>3</v>
      </c>
    </row>
    <row r="1224" spans="1:9" x14ac:dyDescent="0.25">
      <c r="A1224" t="s">
        <v>1229</v>
      </c>
      <c r="B1224">
        <v>24637.75</v>
      </c>
      <c r="C1224">
        <v>24650.45</v>
      </c>
      <c r="D1224">
        <v>24620.65</v>
      </c>
      <c r="E1224">
        <v>24645.15</v>
      </c>
      <c r="F1224" s="2">
        <f t="shared" si="58"/>
        <v>29.799999999999272</v>
      </c>
      <c r="G1224" s="3">
        <f t="shared" si="56"/>
        <v>36.487848880474466</v>
      </c>
      <c r="H1224" t="str">
        <f t="shared" si="57"/>
        <v>2026-08</v>
      </c>
      <c r="I1224">
        <v>3</v>
      </c>
    </row>
    <row r="1225" spans="1:9" x14ac:dyDescent="0.25">
      <c r="A1225" t="s">
        <v>1230</v>
      </c>
      <c r="B1225">
        <v>24647.9</v>
      </c>
      <c r="C1225">
        <v>24665.05</v>
      </c>
      <c r="D1225">
        <v>24635.3</v>
      </c>
      <c r="E1225">
        <v>24636.35</v>
      </c>
      <c r="F1225" s="2">
        <f t="shared" si="58"/>
        <v>29.75</v>
      </c>
      <c r="G1225" s="3">
        <f t="shared" si="56"/>
        <v>36.006573960440576</v>
      </c>
      <c r="H1225" t="str">
        <f t="shared" si="57"/>
        <v>2026-08</v>
      </c>
      <c r="I1225">
        <v>3</v>
      </c>
    </row>
    <row r="1226" spans="1:9" x14ac:dyDescent="0.25">
      <c r="A1226" t="s">
        <v>1231</v>
      </c>
      <c r="B1226">
        <v>24637.55</v>
      </c>
      <c r="C1226">
        <v>24638.9</v>
      </c>
      <c r="D1226">
        <v>24605.95</v>
      </c>
      <c r="E1226">
        <v>24630.85</v>
      </c>
      <c r="F1226" s="2">
        <f t="shared" si="58"/>
        <v>32.950000000000728</v>
      </c>
      <c r="G1226" s="3">
        <f t="shared" si="56"/>
        <v>35.788247248980589</v>
      </c>
      <c r="H1226" t="str">
        <f t="shared" si="57"/>
        <v>2026-08</v>
      </c>
      <c r="I1226">
        <v>3</v>
      </c>
    </row>
    <row r="1227" spans="1:9" x14ac:dyDescent="0.25">
      <c r="A1227" t="s">
        <v>1232</v>
      </c>
      <c r="B1227">
        <v>24631.75</v>
      </c>
      <c r="C1227">
        <v>24639.7</v>
      </c>
      <c r="D1227">
        <v>24617.75</v>
      </c>
      <c r="E1227">
        <v>24635.7</v>
      </c>
      <c r="F1227" s="2">
        <f t="shared" si="58"/>
        <v>21.950000000000728</v>
      </c>
      <c r="G1227" s="3">
        <f t="shared" si="56"/>
        <v>34.7998010169106</v>
      </c>
      <c r="H1227" t="str">
        <f t="shared" si="57"/>
        <v>2026-08</v>
      </c>
      <c r="I1227">
        <v>3</v>
      </c>
    </row>
    <row r="1228" spans="1:9" x14ac:dyDescent="0.25">
      <c r="A1228" t="s">
        <v>1233</v>
      </c>
      <c r="B1228">
        <v>24636.55</v>
      </c>
      <c r="C1228">
        <v>24643.35</v>
      </c>
      <c r="D1228">
        <v>24630.35</v>
      </c>
      <c r="E1228">
        <v>24636.65</v>
      </c>
      <c r="F1228" s="2">
        <f t="shared" si="58"/>
        <v>13</v>
      </c>
      <c r="G1228" s="3">
        <f t="shared" si="56"/>
        <v>33.242672372845554</v>
      </c>
      <c r="H1228" t="str">
        <f t="shared" si="57"/>
        <v>2026-08</v>
      </c>
      <c r="I1228">
        <v>3</v>
      </c>
    </row>
    <row r="1229" spans="1:9" x14ac:dyDescent="0.25">
      <c r="A1229" t="s">
        <v>1234</v>
      </c>
      <c r="B1229">
        <v>24637</v>
      </c>
      <c r="C1229">
        <v>24640.6</v>
      </c>
      <c r="D1229">
        <v>24616</v>
      </c>
      <c r="E1229">
        <v>24630.7</v>
      </c>
      <c r="F1229" s="2">
        <f t="shared" si="58"/>
        <v>24.599999999998545</v>
      </c>
      <c r="G1229" s="3">
        <f t="shared" si="56"/>
        <v>32.62533863192791</v>
      </c>
      <c r="H1229" t="str">
        <f t="shared" si="57"/>
        <v>2026-08</v>
      </c>
      <c r="I1229">
        <v>3</v>
      </c>
    </row>
    <row r="1230" spans="1:9" x14ac:dyDescent="0.25">
      <c r="A1230" t="s">
        <v>1235</v>
      </c>
      <c r="B1230">
        <v>24630.9</v>
      </c>
      <c r="C1230">
        <v>24655.599999999999</v>
      </c>
      <c r="D1230">
        <v>24621.599999999999</v>
      </c>
      <c r="E1230">
        <v>24652.45</v>
      </c>
      <c r="F1230" s="2">
        <f t="shared" si="58"/>
        <v>34</v>
      </c>
      <c r="G1230" s="3">
        <f t="shared" si="56"/>
        <v>32.723528729647349</v>
      </c>
      <c r="H1230" t="str">
        <f t="shared" si="57"/>
        <v>2026-08</v>
      </c>
      <c r="I1230">
        <v>3</v>
      </c>
    </row>
    <row r="1231" spans="1:9" x14ac:dyDescent="0.25">
      <c r="A1231" t="s">
        <v>1236</v>
      </c>
      <c r="B1231">
        <v>24653.8</v>
      </c>
      <c r="C1231">
        <v>24675.05</v>
      </c>
      <c r="D1231">
        <v>24647.9</v>
      </c>
      <c r="E1231">
        <v>24672.55</v>
      </c>
      <c r="F1231" s="2">
        <f t="shared" si="58"/>
        <v>27.149999999997817</v>
      </c>
      <c r="G1231" s="3">
        <f t="shared" si="56"/>
        <v>32.325419534672385</v>
      </c>
      <c r="H1231" t="str">
        <f t="shared" si="57"/>
        <v>2026-08</v>
      </c>
      <c r="I1231">
        <v>3</v>
      </c>
    </row>
    <row r="1232" spans="1:9" x14ac:dyDescent="0.25">
      <c r="A1232" t="s">
        <v>1237</v>
      </c>
      <c r="B1232">
        <v>24674</v>
      </c>
      <c r="C1232">
        <v>24677.05</v>
      </c>
      <c r="D1232">
        <v>24628.95</v>
      </c>
      <c r="E1232">
        <v>24633.65</v>
      </c>
      <c r="F1232" s="2">
        <f t="shared" si="58"/>
        <v>48.099999999998545</v>
      </c>
      <c r="G1232" s="3">
        <f t="shared" ref="G1232:G1295" si="59">(G1231*13+F1232)/14</f>
        <v>33.452175282195682</v>
      </c>
      <c r="H1232" t="str">
        <f t="shared" si="57"/>
        <v>2026-08</v>
      </c>
      <c r="I1232">
        <v>3</v>
      </c>
    </row>
    <row r="1233" spans="1:9" x14ac:dyDescent="0.25">
      <c r="A1233" t="s">
        <v>1238</v>
      </c>
      <c r="B1233">
        <v>24633.75</v>
      </c>
      <c r="C1233">
        <v>24664.35</v>
      </c>
      <c r="D1233">
        <v>24626.9</v>
      </c>
      <c r="E1233">
        <v>24659.9</v>
      </c>
      <c r="F1233" s="2">
        <f t="shared" si="58"/>
        <v>37.44999999999709</v>
      </c>
      <c r="G1233" s="3">
        <f t="shared" si="59"/>
        <v>33.73773419061007</v>
      </c>
      <c r="H1233" t="str">
        <f t="shared" si="57"/>
        <v>2026-08</v>
      </c>
      <c r="I1233">
        <v>3</v>
      </c>
    </row>
    <row r="1234" spans="1:9" x14ac:dyDescent="0.25">
      <c r="A1234" t="s">
        <v>1239</v>
      </c>
      <c r="B1234">
        <v>24660.55</v>
      </c>
      <c r="C1234">
        <v>24661.8</v>
      </c>
      <c r="D1234">
        <v>24638.3</v>
      </c>
      <c r="E1234">
        <v>24643.15</v>
      </c>
      <c r="F1234" s="2">
        <f t="shared" si="58"/>
        <v>23.5</v>
      </c>
      <c r="G1234" s="3">
        <f t="shared" si="59"/>
        <v>33.006467462709352</v>
      </c>
      <c r="H1234" t="str">
        <f t="shared" si="57"/>
        <v>2026-08</v>
      </c>
      <c r="I1234">
        <v>3</v>
      </c>
    </row>
    <row r="1235" spans="1:9" x14ac:dyDescent="0.25">
      <c r="A1235" t="s">
        <v>1240</v>
      </c>
      <c r="B1235">
        <v>24644.2</v>
      </c>
      <c r="C1235">
        <v>24660.75</v>
      </c>
      <c r="D1235">
        <v>24627.200000000001</v>
      </c>
      <c r="E1235">
        <v>24637.05</v>
      </c>
      <c r="F1235" s="2">
        <f t="shared" si="58"/>
        <v>33.549999999999272</v>
      </c>
      <c r="G1235" s="3">
        <f t="shared" si="59"/>
        <v>33.04529121537292</v>
      </c>
      <c r="H1235" t="str">
        <f t="shared" si="57"/>
        <v>2026-08</v>
      </c>
      <c r="I1235">
        <v>3</v>
      </c>
    </row>
    <row r="1236" spans="1:9" x14ac:dyDescent="0.25">
      <c r="A1236" t="s">
        <v>1241</v>
      </c>
      <c r="B1236">
        <v>24637.35</v>
      </c>
      <c r="C1236">
        <v>24651.1</v>
      </c>
      <c r="D1236">
        <v>24636.400000000001</v>
      </c>
      <c r="E1236">
        <v>24646.25</v>
      </c>
      <c r="F1236" s="2">
        <f t="shared" si="58"/>
        <v>14.69999999999709</v>
      </c>
      <c r="G1236" s="3">
        <f t="shared" si="59"/>
        <v>31.734913271417504</v>
      </c>
      <c r="H1236" t="str">
        <f t="shared" si="57"/>
        <v>2026-08</v>
      </c>
      <c r="I1236">
        <v>3</v>
      </c>
    </row>
    <row r="1237" spans="1:9" x14ac:dyDescent="0.25">
      <c r="A1237" t="s">
        <v>1242</v>
      </c>
      <c r="B1237">
        <v>24646.2</v>
      </c>
      <c r="C1237">
        <v>24648.45</v>
      </c>
      <c r="D1237">
        <v>24622.05</v>
      </c>
      <c r="E1237">
        <v>24629.05</v>
      </c>
      <c r="F1237" s="2">
        <f t="shared" si="58"/>
        <v>26.400000000001455</v>
      </c>
      <c r="G1237" s="3">
        <f t="shared" si="59"/>
        <v>31.353848037744932</v>
      </c>
      <c r="H1237" t="str">
        <f t="shared" si="57"/>
        <v>2026-08</v>
      </c>
      <c r="I1237">
        <v>3</v>
      </c>
    </row>
    <row r="1238" spans="1:9" x14ac:dyDescent="0.25">
      <c r="A1238" t="s">
        <v>1243</v>
      </c>
      <c r="B1238">
        <v>24629.25</v>
      </c>
      <c r="C1238">
        <v>24650.95</v>
      </c>
      <c r="D1238">
        <v>24621.25</v>
      </c>
      <c r="E1238">
        <v>24622.2</v>
      </c>
      <c r="F1238" s="2">
        <f t="shared" si="58"/>
        <v>29.700000000000728</v>
      </c>
      <c r="G1238" s="3">
        <f t="shared" si="59"/>
        <v>31.235716035048917</v>
      </c>
      <c r="H1238" t="str">
        <f t="shared" si="57"/>
        <v>2026-08</v>
      </c>
      <c r="I1238">
        <v>3</v>
      </c>
    </row>
    <row r="1239" spans="1:9" x14ac:dyDescent="0.25">
      <c r="A1239" t="s">
        <v>1244</v>
      </c>
      <c r="B1239">
        <v>24623</v>
      </c>
      <c r="C1239">
        <v>24655.9</v>
      </c>
      <c r="D1239">
        <v>24611.85</v>
      </c>
      <c r="E1239">
        <v>24628</v>
      </c>
      <c r="F1239" s="2">
        <f t="shared" si="58"/>
        <v>44.05000000000291</v>
      </c>
      <c r="G1239" s="3">
        <f t="shared" si="59"/>
        <v>32.151022032545633</v>
      </c>
      <c r="H1239" t="str">
        <f t="shared" si="57"/>
        <v>2026-08</v>
      </c>
      <c r="I1239">
        <v>3</v>
      </c>
    </row>
    <row r="1240" spans="1:9" x14ac:dyDescent="0.25">
      <c r="A1240" t="s">
        <v>1245</v>
      </c>
      <c r="B1240">
        <v>24628.05</v>
      </c>
      <c r="C1240">
        <v>24659.65</v>
      </c>
      <c r="D1240">
        <v>24626</v>
      </c>
      <c r="E1240">
        <v>24633.05</v>
      </c>
      <c r="F1240" s="2">
        <f t="shared" si="58"/>
        <v>33.650000000001455</v>
      </c>
      <c r="G1240" s="3">
        <f t="shared" si="59"/>
        <v>32.258091887363904</v>
      </c>
      <c r="H1240" t="str">
        <f t="shared" si="57"/>
        <v>2026-08</v>
      </c>
      <c r="I1240">
        <v>3</v>
      </c>
    </row>
    <row r="1241" spans="1:9" x14ac:dyDescent="0.25">
      <c r="A1241" t="s">
        <v>1246</v>
      </c>
      <c r="B1241">
        <v>24634.55</v>
      </c>
      <c r="C1241">
        <v>24649.75</v>
      </c>
      <c r="D1241">
        <v>24606.9</v>
      </c>
      <c r="E1241">
        <v>24647.25</v>
      </c>
      <c r="F1241" s="2">
        <f t="shared" si="58"/>
        <v>42.849999999998545</v>
      </c>
      <c r="G1241" s="3">
        <f t="shared" si="59"/>
        <v>33.014656752552092</v>
      </c>
      <c r="H1241" t="str">
        <f t="shared" si="57"/>
        <v>2026-08</v>
      </c>
      <c r="I1241">
        <v>3</v>
      </c>
    </row>
    <row r="1242" spans="1:9" x14ac:dyDescent="0.25">
      <c r="A1242" t="s">
        <v>1247</v>
      </c>
      <c r="B1242">
        <v>24646.25</v>
      </c>
      <c r="C1242">
        <v>24658.5</v>
      </c>
      <c r="D1242">
        <v>24634.1</v>
      </c>
      <c r="E1242">
        <v>24651.1</v>
      </c>
      <c r="F1242" s="2">
        <f t="shared" si="58"/>
        <v>24.400000000001455</v>
      </c>
      <c r="G1242" s="3">
        <f t="shared" si="59"/>
        <v>32.399324127369901</v>
      </c>
      <c r="H1242" t="str">
        <f t="shared" si="57"/>
        <v>2026-08</v>
      </c>
      <c r="I1242">
        <v>3</v>
      </c>
    </row>
    <row r="1243" spans="1:9" x14ac:dyDescent="0.25">
      <c r="A1243" t="s">
        <v>1248</v>
      </c>
      <c r="B1243">
        <v>24651.85</v>
      </c>
      <c r="C1243">
        <v>24662.799999999999</v>
      </c>
      <c r="D1243">
        <v>24649.35</v>
      </c>
      <c r="E1243">
        <v>24654.9</v>
      </c>
      <c r="F1243" s="2">
        <f t="shared" si="58"/>
        <v>13.450000000000728</v>
      </c>
      <c r="G1243" s="3">
        <f t="shared" si="59"/>
        <v>31.045800975414959</v>
      </c>
      <c r="H1243" t="str">
        <f t="shared" si="57"/>
        <v>2026-08</v>
      </c>
      <c r="I1243">
        <v>3</v>
      </c>
    </row>
    <row r="1244" spans="1:9" x14ac:dyDescent="0.25">
      <c r="A1244" t="s">
        <v>1249</v>
      </c>
      <c r="B1244">
        <v>24655.45</v>
      </c>
      <c r="C1244">
        <v>24659.45</v>
      </c>
      <c r="D1244">
        <v>24632.65</v>
      </c>
      <c r="E1244">
        <v>24638.35</v>
      </c>
      <c r="F1244" s="2">
        <f t="shared" si="58"/>
        <v>26.799999999999272</v>
      </c>
      <c r="G1244" s="3">
        <f t="shared" si="59"/>
        <v>30.742529477170983</v>
      </c>
      <c r="H1244" t="str">
        <f t="shared" si="57"/>
        <v>2026-08</v>
      </c>
      <c r="I1244">
        <v>3</v>
      </c>
    </row>
    <row r="1245" spans="1:9" x14ac:dyDescent="0.25">
      <c r="A1245" t="s">
        <v>1250</v>
      </c>
      <c r="B1245">
        <v>24639.55</v>
      </c>
      <c r="C1245">
        <v>24647.55</v>
      </c>
      <c r="D1245">
        <v>24629.35</v>
      </c>
      <c r="E1245">
        <v>24633</v>
      </c>
      <c r="F1245" s="2">
        <f t="shared" si="58"/>
        <v>18.200000000000728</v>
      </c>
      <c r="G1245" s="3">
        <f t="shared" si="59"/>
        <v>29.846634514515962</v>
      </c>
      <c r="H1245" t="str">
        <f t="shared" si="57"/>
        <v>2026-08</v>
      </c>
      <c r="I1245">
        <v>3</v>
      </c>
    </row>
    <row r="1246" spans="1:9" x14ac:dyDescent="0.25">
      <c r="A1246" t="s">
        <v>1251</v>
      </c>
      <c r="B1246">
        <v>24633.200000000001</v>
      </c>
      <c r="C1246">
        <v>24642.05</v>
      </c>
      <c r="D1246">
        <v>24614.7</v>
      </c>
      <c r="E1246">
        <v>24628.5</v>
      </c>
      <c r="F1246" s="2">
        <f t="shared" si="58"/>
        <v>27.349999999998545</v>
      </c>
      <c r="G1246" s="3">
        <f t="shared" si="59"/>
        <v>29.668303477764717</v>
      </c>
      <c r="H1246" t="str">
        <f t="shared" si="57"/>
        <v>2026-08</v>
      </c>
      <c r="I1246">
        <v>3</v>
      </c>
    </row>
    <row r="1247" spans="1:9" x14ac:dyDescent="0.25">
      <c r="A1247" t="s">
        <v>1252</v>
      </c>
      <c r="B1247">
        <v>24541.55</v>
      </c>
      <c r="C1247">
        <v>24620</v>
      </c>
      <c r="D1247">
        <v>24529.200000000001</v>
      </c>
      <c r="E1247">
        <v>24601.599999999999</v>
      </c>
      <c r="F1247" s="2">
        <f t="shared" si="58"/>
        <v>99.299999999999272</v>
      </c>
      <c r="G1247" s="3">
        <f t="shared" si="59"/>
        <v>34.641996086495759</v>
      </c>
      <c r="H1247" t="str">
        <f t="shared" si="57"/>
        <v>2026-08</v>
      </c>
      <c r="I1247">
        <v>3</v>
      </c>
    </row>
    <row r="1248" spans="1:9" x14ac:dyDescent="0.25">
      <c r="A1248" t="s">
        <v>1253</v>
      </c>
      <c r="B1248">
        <v>24604</v>
      </c>
      <c r="C1248">
        <v>24618.65</v>
      </c>
      <c r="D1248">
        <v>24593.25</v>
      </c>
      <c r="E1248">
        <v>24618</v>
      </c>
      <c r="F1248" s="2">
        <f t="shared" si="58"/>
        <v>25.400000000001455</v>
      </c>
      <c r="G1248" s="3">
        <f t="shared" si="59"/>
        <v>33.981853508889024</v>
      </c>
      <c r="H1248" t="str">
        <f t="shared" si="57"/>
        <v>2026-08</v>
      </c>
      <c r="I1248">
        <v>3</v>
      </c>
    </row>
    <row r="1249" spans="1:9" x14ac:dyDescent="0.25">
      <c r="A1249" t="s">
        <v>1254</v>
      </c>
      <c r="B1249">
        <v>24618.2</v>
      </c>
      <c r="C1249">
        <v>24630.400000000001</v>
      </c>
      <c r="D1249">
        <v>24600.799999999999</v>
      </c>
      <c r="E1249">
        <v>24626.5</v>
      </c>
      <c r="F1249" s="2">
        <f t="shared" si="58"/>
        <v>29.600000000002183</v>
      </c>
      <c r="G1249" s="3">
        <f t="shared" si="59"/>
        <v>33.668863972539967</v>
      </c>
      <c r="H1249" t="str">
        <f t="shared" si="57"/>
        <v>2026-08</v>
      </c>
      <c r="I1249">
        <v>3</v>
      </c>
    </row>
    <row r="1250" spans="1:9" x14ac:dyDescent="0.25">
      <c r="A1250" t="s">
        <v>1255</v>
      </c>
      <c r="B1250">
        <v>24625.8</v>
      </c>
      <c r="C1250">
        <v>24627.05</v>
      </c>
      <c r="D1250">
        <v>24594</v>
      </c>
      <c r="E1250">
        <v>24599.7</v>
      </c>
      <c r="F1250" s="2">
        <f t="shared" si="58"/>
        <v>33.049999999999272</v>
      </c>
      <c r="G1250" s="3">
        <f t="shared" si="59"/>
        <v>33.624659403072776</v>
      </c>
      <c r="H1250" t="str">
        <f t="shared" si="57"/>
        <v>2026-08</v>
      </c>
      <c r="I1250">
        <v>3</v>
      </c>
    </row>
    <row r="1251" spans="1:9" x14ac:dyDescent="0.25">
      <c r="A1251" t="s">
        <v>1256</v>
      </c>
      <c r="B1251">
        <v>24599.15</v>
      </c>
      <c r="C1251">
        <v>24601.65</v>
      </c>
      <c r="D1251">
        <v>24562.95</v>
      </c>
      <c r="E1251">
        <v>24566.9</v>
      </c>
      <c r="F1251" s="2">
        <f t="shared" si="58"/>
        <v>38.700000000000728</v>
      </c>
      <c r="G1251" s="3">
        <f t="shared" si="59"/>
        <v>33.987183731424771</v>
      </c>
      <c r="H1251" t="str">
        <f t="shared" si="57"/>
        <v>2026-08</v>
      </c>
      <c r="I1251">
        <v>3</v>
      </c>
    </row>
    <row r="1252" spans="1:9" x14ac:dyDescent="0.25">
      <c r="A1252" t="s">
        <v>1257</v>
      </c>
      <c r="B1252">
        <v>24566.55</v>
      </c>
      <c r="C1252">
        <v>24576.6</v>
      </c>
      <c r="D1252">
        <v>24561.3</v>
      </c>
      <c r="E1252">
        <v>24569.35</v>
      </c>
      <c r="F1252" s="2">
        <f t="shared" si="58"/>
        <v>15.299999999999272</v>
      </c>
      <c r="G1252" s="3">
        <f t="shared" si="59"/>
        <v>32.652384893465808</v>
      </c>
      <c r="H1252" t="str">
        <f t="shared" si="57"/>
        <v>2026-08</v>
      </c>
      <c r="I1252">
        <v>3</v>
      </c>
    </row>
    <row r="1253" spans="1:9" x14ac:dyDescent="0.25">
      <c r="A1253" t="s">
        <v>1258</v>
      </c>
      <c r="B1253">
        <v>24569.5</v>
      </c>
      <c r="C1253">
        <v>24586.5</v>
      </c>
      <c r="D1253">
        <v>24569.4</v>
      </c>
      <c r="E1253">
        <v>24570.35</v>
      </c>
      <c r="F1253" s="2">
        <f t="shared" si="58"/>
        <v>17.150000000001455</v>
      </c>
      <c r="G1253" s="3">
        <f t="shared" si="59"/>
        <v>31.545071686789782</v>
      </c>
      <c r="H1253" t="str">
        <f t="shared" si="57"/>
        <v>2026-08</v>
      </c>
      <c r="I1253">
        <v>3</v>
      </c>
    </row>
    <row r="1254" spans="1:9" x14ac:dyDescent="0.25">
      <c r="A1254" t="s">
        <v>1259</v>
      </c>
      <c r="B1254">
        <v>24572.15</v>
      </c>
      <c r="C1254">
        <v>24575.25</v>
      </c>
      <c r="D1254">
        <v>24552.25</v>
      </c>
      <c r="E1254">
        <v>24567.599999999999</v>
      </c>
      <c r="F1254" s="2">
        <f t="shared" si="58"/>
        <v>23</v>
      </c>
      <c r="G1254" s="3">
        <f t="shared" si="59"/>
        <v>30.934709423447657</v>
      </c>
      <c r="H1254" t="str">
        <f t="shared" si="57"/>
        <v>2026-08</v>
      </c>
      <c r="I1254">
        <v>3</v>
      </c>
    </row>
    <row r="1255" spans="1:9" x14ac:dyDescent="0.25">
      <c r="A1255" t="s">
        <v>1260</v>
      </c>
      <c r="B1255">
        <v>24569.1</v>
      </c>
      <c r="C1255">
        <v>24591.599999999999</v>
      </c>
      <c r="D1255">
        <v>24558.45</v>
      </c>
      <c r="E1255">
        <v>24584.799999999999</v>
      </c>
      <c r="F1255" s="2">
        <f t="shared" si="58"/>
        <v>33.149999999997817</v>
      </c>
      <c r="G1255" s="3">
        <f t="shared" si="59"/>
        <v>31.092944464629813</v>
      </c>
      <c r="H1255" t="str">
        <f t="shared" si="57"/>
        <v>2026-08</v>
      </c>
      <c r="I1255">
        <v>3</v>
      </c>
    </row>
    <row r="1256" spans="1:9" x14ac:dyDescent="0.25">
      <c r="A1256" t="s">
        <v>1261</v>
      </c>
      <c r="B1256">
        <v>24584.75</v>
      </c>
      <c r="C1256">
        <v>24589.5</v>
      </c>
      <c r="D1256">
        <v>24575.1</v>
      </c>
      <c r="E1256">
        <v>24579.35</v>
      </c>
      <c r="F1256" s="2">
        <f t="shared" si="58"/>
        <v>14.400000000001455</v>
      </c>
      <c r="G1256" s="3">
        <f t="shared" si="59"/>
        <v>29.900591288584931</v>
      </c>
      <c r="H1256" t="str">
        <f t="shared" si="57"/>
        <v>2026-08</v>
      </c>
      <c r="I1256">
        <v>3</v>
      </c>
    </row>
    <row r="1257" spans="1:9" x14ac:dyDescent="0.25">
      <c r="A1257" t="s">
        <v>1262</v>
      </c>
      <c r="B1257">
        <v>24581.5</v>
      </c>
      <c r="C1257">
        <v>24581.9</v>
      </c>
      <c r="D1257">
        <v>24550.65</v>
      </c>
      <c r="E1257">
        <v>24560.95</v>
      </c>
      <c r="F1257" s="2">
        <f t="shared" si="58"/>
        <v>31.25</v>
      </c>
      <c r="G1257" s="3">
        <f t="shared" si="59"/>
        <v>29.996977625114578</v>
      </c>
      <c r="H1257" t="str">
        <f t="shared" si="57"/>
        <v>2026-08</v>
      </c>
      <c r="I1257">
        <v>3</v>
      </c>
    </row>
    <row r="1258" spans="1:9" x14ac:dyDescent="0.25">
      <c r="A1258" t="s">
        <v>1263</v>
      </c>
      <c r="B1258">
        <v>24562.5</v>
      </c>
      <c r="C1258">
        <v>24563.45</v>
      </c>
      <c r="D1258">
        <v>24540.15</v>
      </c>
      <c r="E1258">
        <v>24540.7</v>
      </c>
      <c r="F1258" s="2">
        <f t="shared" si="58"/>
        <v>23.299999999999272</v>
      </c>
      <c r="G1258" s="3">
        <f t="shared" si="59"/>
        <v>29.518622080463484</v>
      </c>
      <c r="H1258" t="str">
        <f t="shared" si="57"/>
        <v>2026-08</v>
      </c>
      <c r="I1258">
        <v>3</v>
      </c>
    </row>
    <row r="1259" spans="1:9" x14ac:dyDescent="0.25">
      <c r="A1259" t="s">
        <v>1264</v>
      </c>
      <c r="B1259">
        <v>24541.15</v>
      </c>
      <c r="C1259">
        <v>24558.400000000001</v>
      </c>
      <c r="D1259">
        <v>24532.9</v>
      </c>
      <c r="E1259">
        <v>24549.5</v>
      </c>
      <c r="F1259" s="2">
        <f t="shared" si="58"/>
        <v>25.5</v>
      </c>
      <c r="G1259" s="3">
        <f t="shared" si="59"/>
        <v>29.231577646144665</v>
      </c>
      <c r="H1259" t="str">
        <f t="shared" si="57"/>
        <v>2026-08</v>
      </c>
      <c r="I1259">
        <v>3</v>
      </c>
    </row>
    <row r="1260" spans="1:9" x14ac:dyDescent="0.25">
      <c r="A1260" t="s">
        <v>1265</v>
      </c>
      <c r="B1260">
        <v>24550</v>
      </c>
      <c r="C1260">
        <v>24562.45</v>
      </c>
      <c r="D1260">
        <v>24544.799999999999</v>
      </c>
      <c r="E1260">
        <v>24557.05</v>
      </c>
      <c r="F1260" s="2">
        <f t="shared" si="58"/>
        <v>17.650000000001455</v>
      </c>
      <c r="G1260" s="3">
        <f t="shared" si="59"/>
        <v>28.404322099991578</v>
      </c>
      <c r="H1260" t="str">
        <f t="shared" si="57"/>
        <v>2026-08</v>
      </c>
      <c r="I1260">
        <v>3</v>
      </c>
    </row>
    <row r="1261" spans="1:9" x14ac:dyDescent="0.25">
      <c r="A1261" t="s">
        <v>1266</v>
      </c>
      <c r="B1261">
        <v>24559.35</v>
      </c>
      <c r="C1261">
        <v>24570.05</v>
      </c>
      <c r="D1261">
        <v>24551.3</v>
      </c>
      <c r="E1261">
        <v>24554.6</v>
      </c>
      <c r="F1261" s="2">
        <f t="shared" si="58"/>
        <v>18.75</v>
      </c>
      <c r="G1261" s="3">
        <f t="shared" si="59"/>
        <v>27.714727664277895</v>
      </c>
      <c r="H1261" t="str">
        <f t="shared" si="57"/>
        <v>2026-08</v>
      </c>
      <c r="I1261">
        <v>3</v>
      </c>
    </row>
    <row r="1262" spans="1:9" x14ac:dyDescent="0.25">
      <c r="A1262" t="s">
        <v>1267</v>
      </c>
      <c r="B1262">
        <v>24553.65</v>
      </c>
      <c r="C1262">
        <v>24567.25</v>
      </c>
      <c r="D1262">
        <v>24546.7</v>
      </c>
      <c r="E1262">
        <v>24547</v>
      </c>
      <c r="F1262" s="2">
        <f t="shared" si="58"/>
        <v>20.549999999999272</v>
      </c>
      <c r="G1262" s="3">
        <f t="shared" si="59"/>
        <v>27.202961402543707</v>
      </c>
      <c r="H1262" t="str">
        <f t="shared" si="57"/>
        <v>2026-08</v>
      </c>
      <c r="I1262">
        <v>3</v>
      </c>
    </row>
    <row r="1263" spans="1:9" x14ac:dyDescent="0.25">
      <c r="A1263" t="s">
        <v>1268</v>
      </c>
      <c r="B1263">
        <v>24548.25</v>
      </c>
      <c r="C1263">
        <v>24573.5</v>
      </c>
      <c r="D1263">
        <v>24546.1</v>
      </c>
      <c r="E1263">
        <v>24565.95</v>
      </c>
      <c r="F1263" s="2">
        <f t="shared" si="58"/>
        <v>27.400000000001455</v>
      </c>
      <c r="G1263" s="3">
        <f t="shared" si="59"/>
        <v>27.217035588076403</v>
      </c>
      <c r="H1263" t="str">
        <f t="shared" si="57"/>
        <v>2026-08</v>
      </c>
      <c r="I1263">
        <v>3</v>
      </c>
    </row>
    <row r="1264" spans="1:9" x14ac:dyDescent="0.25">
      <c r="A1264" t="s">
        <v>1269</v>
      </c>
      <c r="B1264">
        <v>24567.55</v>
      </c>
      <c r="C1264">
        <v>24568.45</v>
      </c>
      <c r="D1264">
        <v>24545.35</v>
      </c>
      <c r="E1264">
        <v>24548.5</v>
      </c>
      <c r="F1264" s="2">
        <f t="shared" si="58"/>
        <v>23.100000000002183</v>
      </c>
      <c r="G1264" s="3">
        <f t="shared" si="59"/>
        <v>26.922961617499674</v>
      </c>
      <c r="H1264" t="str">
        <f t="shared" si="57"/>
        <v>2026-08</v>
      </c>
      <c r="I1264">
        <v>3</v>
      </c>
    </row>
    <row r="1265" spans="1:9" x14ac:dyDescent="0.25">
      <c r="A1265" t="s">
        <v>1270</v>
      </c>
      <c r="B1265">
        <v>24550.7</v>
      </c>
      <c r="C1265">
        <v>24590.5</v>
      </c>
      <c r="D1265">
        <v>24547.7</v>
      </c>
      <c r="E1265">
        <v>24563.95</v>
      </c>
      <c r="F1265" s="2">
        <f t="shared" si="58"/>
        <v>42.799999999999272</v>
      </c>
      <c r="G1265" s="3">
        <f t="shared" si="59"/>
        <v>28.057035787678217</v>
      </c>
      <c r="H1265" t="str">
        <f t="shared" si="57"/>
        <v>2026-08</v>
      </c>
      <c r="I1265">
        <v>3</v>
      </c>
    </row>
    <row r="1266" spans="1:9" x14ac:dyDescent="0.25">
      <c r="A1266" t="s">
        <v>1271</v>
      </c>
      <c r="B1266">
        <v>24565.85</v>
      </c>
      <c r="C1266">
        <v>24579.65</v>
      </c>
      <c r="D1266">
        <v>24522.75</v>
      </c>
      <c r="E1266">
        <v>24526.85</v>
      </c>
      <c r="F1266" s="2">
        <f t="shared" si="58"/>
        <v>56.900000000001455</v>
      </c>
      <c r="G1266" s="3">
        <f t="shared" si="59"/>
        <v>30.117247517129876</v>
      </c>
      <c r="H1266" t="str">
        <f t="shared" si="57"/>
        <v>2026-08</v>
      </c>
      <c r="I1266">
        <v>3</v>
      </c>
    </row>
    <row r="1267" spans="1:9" x14ac:dyDescent="0.25">
      <c r="A1267" t="s">
        <v>1272</v>
      </c>
      <c r="B1267">
        <v>24528.799999999999</v>
      </c>
      <c r="C1267">
        <v>24547.1</v>
      </c>
      <c r="D1267">
        <v>24523.15</v>
      </c>
      <c r="E1267">
        <v>24534.2</v>
      </c>
      <c r="F1267" s="2">
        <f t="shared" si="58"/>
        <v>23.94999999999709</v>
      </c>
      <c r="G1267" s="3">
        <f t="shared" si="59"/>
        <v>29.676729837334676</v>
      </c>
      <c r="H1267" t="str">
        <f t="shared" si="57"/>
        <v>2026-08</v>
      </c>
      <c r="I1267">
        <v>3</v>
      </c>
    </row>
    <row r="1268" spans="1:9" x14ac:dyDescent="0.25">
      <c r="A1268" t="s">
        <v>1273</v>
      </c>
      <c r="B1268">
        <v>24534.1</v>
      </c>
      <c r="C1268">
        <v>24549.599999999999</v>
      </c>
      <c r="D1268">
        <v>24526.15</v>
      </c>
      <c r="E1268">
        <v>24538.25</v>
      </c>
      <c r="F1268" s="2">
        <f t="shared" si="58"/>
        <v>23.44999999999709</v>
      </c>
      <c r="G1268" s="3">
        <f t="shared" si="59"/>
        <v>29.231963420381991</v>
      </c>
      <c r="H1268" t="str">
        <f t="shared" si="57"/>
        <v>2026-08</v>
      </c>
      <c r="I1268">
        <v>3</v>
      </c>
    </row>
    <row r="1269" spans="1:9" x14ac:dyDescent="0.25">
      <c r="A1269" t="s">
        <v>1274</v>
      </c>
      <c r="B1269">
        <v>24537.9</v>
      </c>
      <c r="C1269">
        <v>24561.45</v>
      </c>
      <c r="D1269">
        <v>24528.55</v>
      </c>
      <c r="E1269">
        <v>24541.8</v>
      </c>
      <c r="F1269" s="2">
        <f t="shared" si="58"/>
        <v>32.900000000001455</v>
      </c>
      <c r="G1269" s="3">
        <f t="shared" si="59"/>
        <v>29.493966033211954</v>
      </c>
      <c r="H1269" t="str">
        <f t="shared" si="57"/>
        <v>2026-08</v>
      </c>
      <c r="I1269">
        <v>3</v>
      </c>
    </row>
    <row r="1270" spans="1:9" x14ac:dyDescent="0.25">
      <c r="A1270" t="s">
        <v>1275</v>
      </c>
      <c r="B1270">
        <v>24542.15</v>
      </c>
      <c r="C1270">
        <v>24565.1</v>
      </c>
      <c r="D1270">
        <v>24541.599999999999</v>
      </c>
      <c r="E1270">
        <v>24558.95</v>
      </c>
      <c r="F1270" s="2">
        <f t="shared" si="58"/>
        <v>23.5</v>
      </c>
      <c r="G1270" s="3">
        <f t="shared" si="59"/>
        <v>29.065825602268241</v>
      </c>
      <c r="H1270" t="str">
        <f t="shared" si="57"/>
        <v>2026-08</v>
      </c>
      <c r="I1270">
        <v>3</v>
      </c>
    </row>
    <row r="1271" spans="1:9" x14ac:dyDescent="0.25">
      <c r="A1271" t="s">
        <v>1276</v>
      </c>
      <c r="B1271">
        <v>24580.45</v>
      </c>
      <c r="C1271">
        <v>24620.95</v>
      </c>
      <c r="D1271">
        <v>24553.55</v>
      </c>
      <c r="E1271">
        <v>24555.9</v>
      </c>
      <c r="F1271" s="2">
        <f t="shared" si="58"/>
        <v>67.400000000001455</v>
      </c>
      <c r="G1271" s="3">
        <f t="shared" si="59"/>
        <v>31.803980916392042</v>
      </c>
      <c r="H1271" t="str">
        <f t="shared" si="57"/>
        <v>2026-08</v>
      </c>
      <c r="I1271">
        <v>3</v>
      </c>
    </row>
    <row r="1272" spans="1:9" x14ac:dyDescent="0.25">
      <c r="A1272" t="s">
        <v>1277</v>
      </c>
      <c r="B1272">
        <v>24557.9</v>
      </c>
      <c r="C1272">
        <v>24560.9</v>
      </c>
      <c r="D1272">
        <v>24511.1</v>
      </c>
      <c r="E1272">
        <v>24521.15</v>
      </c>
      <c r="F1272" s="2">
        <f t="shared" si="58"/>
        <v>49.80000000000291</v>
      </c>
      <c r="G1272" s="3">
        <f t="shared" si="59"/>
        <v>33.089410850935671</v>
      </c>
      <c r="H1272" t="str">
        <f t="shared" si="57"/>
        <v>2026-08</v>
      </c>
      <c r="I1272">
        <v>3</v>
      </c>
    </row>
    <row r="1273" spans="1:9" x14ac:dyDescent="0.25">
      <c r="A1273" t="s">
        <v>1278</v>
      </c>
      <c r="B1273">
        <v>24521.75</v>
      </c>
      <c r="C1273">
        <v>24542.799999999999</v>
      </c>
      <c r="D1273">
        <v>24518.45</v>
      </c>
      <c r="E1273">
        <v>24534.25</v>
      </c>
      <c r="F1273" s="2">
        <f t="shared" si="58"/>
        <v>24.349999999998545</v>
      </c>
      <c r="G1273" s="3">
        <f t="shared" si="59"/>
        <v>32.465167218725874</v>
      </c>
      <c r="H1273" t="str">
        <f t="shared" si="57"/>
        <v>2026-08</v>
      </c>
      <c r="I1273">
        <v>3</v>
      </c>
    </row>
    <row r="1274" spans="1:9" x14ac:dyDescent="0.25">
      <c r="A1274" t="s">
        <v>1279</v>
      </c>
      <c r="B1274">
        <v>24536.35</v>
      </c>
      <c r="C1274">
        <v>24551.4</v>
      </c>
      <c r="D1274">
        <v>24530.25</v>
      </c>
      <c r="E1274">
        <v>24544.75</v>
      </c>
      <c r="F1274" s="2">
        <f t="shared" si="58"/>
        <v>21.150000000001455</v>
      </c>
      <c r="G1274" s="3">
        <f t="shared" si="59"/>
        <v>31.656940988816988</v>
      </c>
      <c r="H1274" t="str">
        <f t="shared" si="57"/>
        <v>2026-08</v>
      </c>
      <c r="I1274">
        <v>3</v>
      </c>
    </row>
    <row r="1275" spans="1:9" x14ac:dyDescent="0.25">
      <c r="A1275" t="s">
        <v>1280</v>
      </c>
      <c r="B1275">
        <v>24545.9</v>
      </c>
      <c r="C1275">
        <v>24595.4</v>
      </c>
      <c r="D1275">
        <v>24545.599999999999</v>
      </c>
      <c r="E1275">
        <v>24594.799999999999</v>
      </c>
      <c r="F1275" s="2">
        <f t="shared" si="58"/>
        <v>50.650000000001455</v>
      </c>
      <c r="G1275" s="3">
        <f t="shared" si="59"/>
        <v>33.013588061044452</v>
      </c>
      <c r="H1275" t="str">
        <f t="shared" si="57"/>
        <v>2026-08</v>
      </c>
      <c r="I1275">
        <v>3</v>
      </c>
    </row>
    <row r="1276" spans="1:9" x14ac:dyDescent="0.25">
      <c r="A1276" t="s">
        <v>1281</v>
      </c>
      <c r="B1276">
        <v>24595.200000000001</v>
      </c>
      <c r="C1276">
        <v>24605.35</v>
      </c>
      <c r="D1276">
        <v>24584.85</v>
      </c>
      <c r="E1276">
        <v>24603.65</v>
      </c>
      <c r="F1276" s="2">
        <f t="shared" si="58"/>
        <v>20.5</v>
      </c>
      <c r="G1276" s="3">
        <f t="shared" si="59"/>
        <v>32.119760342398415</v>
      </c>
      <c r="H1276" t="str">
        <f t="shared" si="57"/>
        <v>2026-08</v>
      </c>
      <c r="I1276">
        <v>3</v>
      </c>
    </row>
    <row r="1277" spans="1:9" x14ac:dyDescent="0.25">
      <c r="A1277" t="s">
        <v>1282</v>
      </c>
      <c r="B1277">
        <v>24604.1</v>
      </c>
      <c r="C1277">
        <v>24614.5</v>
      </c>
      <c r="D1277">
        <v>24585.85</v>
      </c>
      <c r="E1277">
        <v>24588.2</v>
      </c>
      <c r="F1277" s="2">
        <f t="shared" si="58"/>
        <v>28.650000000001455</v>
      </c>
      <c r="G1277" s="3">
        <f t="shared" si="59"/>
        <v>31.871920317941488</v>
      </c>
      <c r="H1277" t="str">
        <f t="shared" si="57"/>
        <v>2026-08</v>
      </c>
      <c r="I1277">
        <v>3</v>
      </c>
    </row>
    <row r="1278" spans="1:9" x14ac:dyDescent="0.25">
      <c r="A1278" t="s">
        <v>1283</v>
      </c>
      <c r="B1278">
        <v>24588.799999999999</v>
      </c>
      <c r="C1278">
        <v>24602.7</v>
      </c>
      <c r="D1278">
        <v>24586.2</v>
      </c>
      <c r="E1278">
        <v>24602.35</v>
      </c>
      <c r="F1278" s="2">
        <f t="shared" si="58"/>
        <v>16.5</v>
      </c>
      <c r="G1278" s="3">
        <f t="shared" si="59"/>
        <v>30.773926009517094</v>
      </c>
      <c r="H1278" t="str">
        <f t="shared" si="57"/>
        <v>2026-08</v>
      </c>
      <c r="I1278">
        <v>3</v>
      </c>
    </row>
    <row r="1279" spans="1:9" x14ac:dyDescent="0.25">
      <c r="A1279" t="s">
        <v>1284</v>
      </c>
      <c r="B1279">
        <v>24602.9</v>
      </c>
      <c r="C1279">
        <v>24610.45</v>
      </c>
      <c r="D1279">
        <v>24592.65</v>
      </c>
      <c r="E1279">
        <v>24603.9</v>
      </c>
      <c r="F1279" s="2">
        <f t="shared" si="58"/>
        <v>17.799999999999272</v>
      </c>
      <c r="G1279" s="3">
        <f t="shared" si="59"/>
        <v>29.847217008837248</v>
      </c>
      <c r="H1279" t="str">
        <f t="shared" si="57"/>
        <v>2026-08</v>
      </c>
      <c r="I1279">
        <v>3</v>
      </c>
    </row>
    <row r="1280" spans="1:9" x14ac:dyDescent="0.25">
      <c r="A1280" t="s">
        <v>1285</v>
      </c>
      <c r="B1280">
        <v>24604.25</v>
      </c>
      <c r="C1280">
        <v>24604.95</v>
      </c>
      <c r="D1280">
        <v>24581.05</v>
      </c>
      <c r="E1280">
        <v>24583.15</v>
      </c>
      <c r="F1280" s="2">
        <f t="shared" si="58"/>
        <v>23.900000000001455</v>
      </c>
      <c r="G1280" s="3">
        <f t="shared" si="59"/>
        <v>29.422415793920404</v>
      </c>
      <c r="H1280" t="str">
        <f t="shared" si="57"/>
        <v>2026-08</v>
      </c>
      <c r="I1280">
        <v>3</v>
      </c>
    </row>
    <row r="1281" spans="1:9" x14ac:dyDescent="0.25">
      <c r="A1281" t="s">
        <v>1286</v>
      </c>
      <c r="B1281">
        <v>24583.5</v>
      </c>
      <c r="C1281">
        <v>24599.4</v>
      </c>
      <c r="D1281">
        <v>24574.65</v>
      </c>
      <c r="E1281">
        <v>24588.2</v>
      </c>
      <c r="F1281" s="2">
        <f t="shared" si="58"/>
        <v>24.75</v>
      </c>
      <c r="G1281" s="3">
        <f t="shared" si="59"/>
        <v>29.088671808640377</v>
      </c>
      <c r="H1281" t="str">
        <f t="shared" si="57"/>
        <v>2026-08</v>
      </c>
      <c r="I1281">
        <v>3</v>
      </c>
    </row>
    <row r="1282" spans="1:9" x14ac:dyDescent="0.25">
      <c r="A1282" t="s">
        <v>1287</v>
      </c>
      <c r="B1282">
        <v>24588.9</v>
      </c>
      <c r="C1282">
        <v>24609.9</v>
      </c>
      <c r="D1282">
        <v>24584.25</v>
      </c>
      <c r="E1282">
        <v>24606.799999999999</v>
      </c>
      <c r="F1282" s="2">
        <f t="shared" si="58"/>
        <v>25.650000000001455</v>
      </c>
      <c r="G1282" s="3">
        <f t="shared" si="59"/>
        <v>28.843052393737597</v>
      </c>
      <c r="H1282" t="str">
        <f t="shared" ref="H1282:H1345" si="60">LEFT(A1282,7)</f>
        <v>2026-08</v>
      </c>
      <c r="I1282">
        <v>3</v>
      </c>
    </row>
    <row r="1283" spans="1:9" x14ac:dyDescent="0.25">
      <c r="A1283" t="s">
        <v>1288</v>
      </c>
      <c r="B1283">
        <v>24606.6</v>
      </c>
      <c r="C1283">
        <v>24618.9</v>
      </c>
      <c r="D1283">
        <v>24601.3</v>
      </c>
      <c r="E1283">
        <v>24610.6</v>
      </c>
      <c r="F1283" s="2">
        <f t="shared" ref="F1283:F1346" si="61">MAX(C1283-D1283,ABS(C1283-E1282),ABS(D1283-E1282))</f>
        <v>17.600000000002183</v>
      </c>
      <c r="G1283" s="3">
        <f t="shared" si="59"/>
        <v>28.039977222756498</v>
      </c>
      <c r="H1283" t="str">
        <f t="shared" si="60"/>
        <v>2026-08</v>
      </c>
      <c r="I1283">
        <v>3</v>
      </c>
    </row>
    <row r="1284" spans="1:9" x14ac:dyDescent="0.25">
      <c r="A1284" t="s">
        <v>1289</v>
      </c>
      <c r="B1284">
        <v>24610.35</v>
      </c>
      <c r="C1284">
        <v>24616.9</v>
      </c>
      <c r="D1284">
        <v>24598.1</v>
      </c>
      <c r="E1284">
        <v>24598.25</v>
      </c>
      <c r="F1284" s="2">
        <f t="shared" si="61"/>
        <v>18.80000000000291</v>
      </c>
      <c r="G1284" s="3">
        <f t="shared" si="59"/>
        <v>27.37997884970267</v>
      </c>
      <c r="H1284" t="str">
        <f t="shared" si="60"/>
        <v>2026-08</v>
      </c>
      <c r="I1284">
        <v>3</v>
      </c>
    </row>
    <row r="1285" spans="1:9" x14ac:dyDescent="0.25">
      <c r="A1285" t="s">
        <v>1290</v>
      </c>
      <c r="B1285">
        <v>24599.4</v>
      </c>
      <c r="C1285">
        <v>24603.75</v>
      </c>
      <c r="D1285">
        <v>24583.75</v>
      </c>
      <c r="E1285">
        <v>24587.75</v>
      </c>
      <c r="F1285" s="2">
        <f t="shared" si="61"/>
        <v>20</v>
      </c>
      <c r="G1285" s="3">
        <f t="shared" si="59"/>
        <v>26.852837503295337</v>
      </c>
      <c r="H1285" t="str">
        <f t="shared" si="60"/>
        <v>2026-08</v>
      </c>
      <c r="I1285">
        <v>3</v>
      </c>
    </row>
    <row r="1286" spans="1:9" x14ac:dyDescent="0.25">
      <c r="A1286" t="s">
        <v>1291</v>
      </c>
      <c r="B1286">
        <v>24587.1</v>
      </c>
      <c r="C1286">
        <v>24596</v>
      </c>
      <c r="D1286">
        <v>24571.35</v>
      </c>
      <c r="E1286">
        <v>24573.55</v>
      </c>
      <c r="F1286" s="2">
        <f t="shared" si="61"/>
        <v>24.650000000001455</v>
      </c>
      <c r="G1286" s="3">
        <f t="shared" si="59"/>
        <v>26.695491967345777</v>
      </c>
      <c r="H1286" t="str">
        <f t="shared" si="60"/>
        <v>2026-08</v>
      </c>
      <c r="I1286">
        <v>3</v>
      </c>
    </row>
    <row r="1287" spans="1:9" x14ac:dyDescent="0.25">
      <c r="A1287" t="s">
        <v>1292</v>
      </c>
      <c r="B1287">
        <v>24573.1</v>
      </c>
      <c r="C1287">
        <v>24595.35</v>
      </c>
      <c r="D1287">
        <v>24573.1</v>
      </c>
      <c r="E1287">
        <v>24589.8</v>
      </c>
      <c r="F1287" s="2">
        <f t="shared" si="61"/>
        <v>22.25</v>
      </c>
      <c r="G1287" s="3">
        <f t="shared" si="59"/>
        <v>26.37795682682108</v>
      </c>
      <c r="H1287" t="str">
        <f t="shared" si="60"/>
        <v>2026-08</v>
      </c>
      <c r="I1287">
        <v>3</v>
      </c>
    </row>
    <row r="1288" spans="1:9" x14ac:dyDescent="0.25">
      <c r="A1288" t="s">
        <v>1293</v>
      </c>
      <c r="B1288">
        <v>24590.55</v>
      </c>
      <c r="C1288">
        <v>24608.5</v>
      </c>
      <c r="D1288">
        <v>24587.65</v>
      </c>
      <c r="E1288">
        <v>24606.35</v>
      </c>
      <c r="F1288" s="2">
        <f t="shared" si="61"/>
        <v>20.849999999998545</v>
      </c>
      <c r="G1288" s="3">
        <f t="shared" si="59"/>
        <v>25.983102767762325</v>
      </c>
      <c r="H1288" t="str">
        <f t="shared" si="60"/>
        <v>2026-08</v>
      </c>
      <c r="I1288">
        <v>3</v>
      </c>
    </row>
    <row r="1289" spans="1:9" x14ac:dyDescent="0.25">
      <c r="A1289" t="s">
        <v>1294</v>
      </c>
      <c r="B1289">
        <v>24606.65</v>
      </c>
      <c r="C1289">
        <v>24610.3</v>
      </c>
      <c r="D1289">
        <v>24591.1</v>
      </c>
      <c r="E1289">
        <v>24591.85</v>
      </c>
      <c r="F1289" s="2">
        <f t="shared" si="61"/>
        <v>19.200000000000728</v>
      </c>
      <c r="G1289" s="3">
        <f t="shared" si="59"/>
        <v>25.498595427207928</v>
      </c>
      <c r="H1289" t="str">
        <f t="shared" si="60"/>
        <v>2026-08</v>
      </c>
      <c r="I1289">
        <v>3</v>
      </c>
    </row>
    <row r="1290" spans="1:9" x14ac:dyDescent="0.25">
      <c r="A1290" t="s">
        <v>1295</v>
      </c>
      <c r="B1290">
        <v>24591.8</v>
      </c>
      <c r="C1290">
        <v>24605.35</v>
      </c>
      <c r="D1290">
        <v>24582.5</v>
      </c>
      <c r="E1290">
        <v>24587.55</v>
      </c>
      <c r="F1290" s="2">
        <f t="shared" si="61"/>
        <v>22.849999999998545</v>
      </c>
      <c r="G1290" s="3">
        <f t="shared" si="59"/>
        <v>25.309410039550112</v>
      </c>
      <c r="H1290" t="str">
        <f t="shared" si="60"/>
        <v>2026-08</v>
      </c>
      <c r="I1290">
        <v>3</v>
      </c>
    </row>
    <row r="1291" spans="1:9" x14ac:dyDescent="0.25">
      <c r="A1291" t="s">
        <v>1296</v>
      </c>
      <c r="B1291">
        <v>24587.95</v>
      </c>
      <c r="C1291">
        <v>24594.400000000001</v>
      </c>
      <c r="D1291">
        <v>24583.15</v>
      </c>
      <c r="E1291">
        <v>24586.75</v>
      </c>
      <c r="F1291" s="2">
        <f t="shared" si="61"/>
        <v>11.25</v>
      </c>
      <c r="G1291" s="3">
        <f t="shared" si="59"/>
        <v>24.305166465296534</v>
      </c>
      <c r="H1291" t="str">
        <f t="shared" si="60"/>
        <v>2026-08</v>
      </c>
      <c r="I1291">
        <v>3</v>
      </c>
    </row>
    <row r="1292" spans="1:9" x14ac:dyDescent="0.25">
      <c r="A1292" t="s">
        <v>1297</v>
      </c>
      <c r="B1292">
        <v>24587.35</v>
      </c>
      <c r="C1292">
        <v>24591</v>
      </c>
      <c r="D1292">
        <v>24565.55</v>
      </c>
      <c r="E1292">
        <v>24572.5</v>
      </c>
      <c r="F1292" s="2">
        <f t="shared" si="61"/>
        <v>25.450000000000728</v>
      </c>
      <c r="G1292" s="3">
        <f t="shared" si="59"/>
        <v>24.386940289203977</v>
      </c>
      <c r="H1292" t="str">
        <f t="shared" si="60"/>
        <v>2026-08</v>
      </c>
      <c r="I1292">
        <v>3</v>
      </c>
    </row>
    <row r="1293" spans="1:9" x14ac:dyDescent="0.25">
      <c r="A1293" t="s">
        <v>1298</v>
      </c>
      <c r="B1293">
        <v>24572.55</v>
      </c>
      <c r="C1293">
        <v>24572.55</v>
      </c>
      <c r="D1293">
        <v>24549</v>
      </c>
      <c r="E1293">
        <v>24567.85</v>
      </c>
      <c r="F1293" s="2">
        <f t="shared" si="61"/>
        <v>23.549999999999272</v>
      </c>
      <c r="G1293" s="3">
        <f t="shared" si="59"/>
        <v>24.327158839975066</v>
      </c>
      <c r="H1293" t="str">
        <f t="shared" si="60"/>
        <v>2026-08</v>
      </c>
      <c r="I1293">
        <v>3</v>
      </c>
    </row>
    <row r="1294" spans="1:9" x14ac:dyDescent="0.25">
      <c r="A1294" t="s">
        <v>1299</v>
      </c>
      <c r="B1294">
        <v>24566.55</v>
      </c>
      <c r="C1294">
        <v>24575.3</v>
      </c>
      <c r="D1294">
        <v>24543.05</v>
      </c>
      <c r="E1294">
        <v>24560.05</v>
      </c>
      <c r="F1294" s="2">
        <f t="shared" si="61"/>
        <v>32.25</v>
      </c>
      <c r="G1294" s="3">
        <f t="shared" si="59"/>
        <v>24.893076065691133</v>
      </c>
      <c r="H1294" t="str">
        <f t="shared" si="60"/>
        <v>2026-08</v>
      </c>
      <c r="I1294">
        <v>3</v>
      </c>
    </row>
    <row r="1295" spans="1:9" x14ac:dyDescent="0.25">
      <c r="A1295" t="s">
        <v>1300</v>
      </c>
      <c r="B1295">
        <v>24576.85</v>
      </c>
      <c r="C1295">
        <v>24576.85</v>
      </c>
      <c r="D1295">
        <v>24487.200000000001</v>
      </c>
      <c r="E1295">
        <v>24487.4</v>
      </c>
      <c r="F1295" s="2">
        <f t="shared" si="61"/>
        <v>89.649999999997817</v>
      </c>
      <c r="G1295" s="3">
        <f t="shared" si="59"/>
        <v>29.518570632427327</v>
      </c>
      <c r="H1295" t="str">
        <f t="shared" si="60"/>
        <v>2026-08</v>
      </c>
      <c r="I1295">
        <v>3</v>
      </c>
    </row>
    <row r="1296" spans="1:9" x14ac:dyDescent="0.25">
      <c r="A1296" t="s">
        <v>1301</v>
      </c>
      <c r="B1296">
        <v>24486.15</v>
      </c>
      <c r="C1296">
        <v>24497.599999999999</v>
      </c>
      <c r="D1296">
        <v>24468.35</v>
      </c>
      <c r="E1296">
        <v>24479.25</v>
      </c>
      <c r="F1296" s="2">
        <f t="shared" si="61"/>
        <v>29.25</v>
      </c>
      <c r="G1296" s="3">
        <f t="shared" ref="G1296:G1359" si="62">(G1295*13+F1296)/14</f>
        <v>29.499387015825373</v>
      </c>
      <c r="H1296" t="str">
        <f t="shared" si="60"/>
        <v>2026-08</v>
      </c>
      <c r="I1296">
        <v>3</v>
      </c>
    </row>
    <row r="1297" spans="1:9" x14ac:dyDescent="0.25">
      <c r="A1297" t="s">
        <v>1302</v>
      </c>
      <c r="B1297">
        <v>24480.55</v>
      </c>
      <c r="C1297">
        <v>24487.55</v>
      </c>
      <c r="D1297">
        <v>24460.9</v>
      </c>
      <c r="E1297">
        <v>24486.85</v>
      </c>
      <c r="F1297" s="2">
        <f t="shared" si="61"/>
        <v>26.649999999997817</v>
      </c>
      <c r="G1297" s="3">
        <f t="shared" si="62"/>
        <v>29.29585937183769</v>
      </c>
      <c r="H1297" t="str">
        <f t="shared" si="60"/>
        <v>2026-08</v>
      </c>
      <c r="I1297">
        <v>3</v>
      </c>
    </row>
    <row r="1298" spans="1:9" x14ac:dyDescent="0.25">
      <c r="A1298" t="s">
        <v>1303</v>
      </c>
      <c r="B1298">
        <v>24486.400000000001</v>
      </c>
      <c r="C1298">
        <v>24491.85</v>
      </c>
      <c r="D1298">
        <v>24472.6</v>
      </c>
      <c r="E1298">
        <v>24473</v>
      </c>
      <c r="F1298" s="2">
        <f t="shared" si="61"/>
        <v>19.25</v>
      </c>
      <c r="G1298" s="3">
        <f t="shared" si="62"/>
        <v>28.578297988134999</v>
      </c>
      <c r="H1298" t="str">
        <f t="shared" si="60"/>
        <v>2026-08</v>
      </c>
      <c r="I1298">
        <v>3</v>
      </c>
    </row>
    <row r="1299" spans="1:9" x14ac:dyDescent="0.25">
      <c r="A1299" t="s">
        <v>1304</v>
      </c>
      <c r="B1299">
        <v>24473.5</v>
      </c>
      <c r="C1299">
        <v>24484.799999999999</v>
      </c>
      <c r="D1299">
        <v>24463.599999999999</v>
      </c>
      <c r="E1299">
        <v>24479</v>
      </c>
      <c r="F1299" s="2">
        <f t="shared" si="61"/>
        <v>21.200000000000728</v>
      </c>
      <c r="G1299" s="3">
        <f t="shared" si="62"/>
        <v>28.051276703268265</v>
      </c>
      <c r="H1299" t="str">
        <f t="shared" si="60"/>
        <v>2026-08</v>
      </c>
      <c r="I1299">
        <v>3</v>
      </c>
    </row>
    <row r="1300" spans="1:9" x14ac:dyDescent="0.25">
      <c r="A1300" t="s">
        <v>1305</v>
      </c>
      <c r="B1300">
        <v>24479.15</v>
      </c>
      <c r="C1300">
        <v>24485</v>
      </c>
      <c r="D1300">
        <v>24471.5</v>
      </c>
      <c r="E1300">
        <v>24474.75</v>
      </c>
      <c r="F1300" s="2">
        <f t="shared" si="61"/>
        <v>13.5</v>
      </c>
      <c r="G1300" s="3">
        <f t="shared" si="62"/>
        <v>27.01189979589196</v>
      </c>
      <c r="H1300" t="str">
        <f t="shared" si="60"/>
        <v>2026-08</v>
      </c>
      <c r="I1300">
        <v>3</v>
      </c>
    </row>
    <row r="1301" spans="1:9" x14ac:dyDescent="0.25">
      <c r="A1301" t="s">
        <v>1306</v>
      </c>
      <c r="B1301">
        <v>24474.400000000001</v>
      </c>
      <c r="C1301">
        <v>24481</v>
      </c>
      <c r="D1301">
        <v>24464.85</v>
      </c>
      <c r="E1301">
        <v>24469</v>
      </c>
      <c r="F1301" s="2">
        <f t="shared" si="61"/>
        <v>16.150000000001455</v>
      </c>
      <c r="G1301" s="3">
        <f t="shared" si="62"/>
        <v>26.236049810471208</v>
      </c>
      <c r="H1301" t="str">
        <f t="shared" si="60"/>
        <v>2026-08</v>
      </c>
      <c r="I1301">
        <v>3</v>
      </c>
    </row>
    <row r="1302" spans="1:9" x14ac:dyDescent="0.25">
      <c r="A1302" t="s">
        <v>1307</v>
      </c>
      <c r="B1302">
        <v>24469.55</v>
      </c>
      <c r="C1302">
        <v>24471.25</v>
      </c>
      <c r="D1302">
        <v>24440.35</v>
      </c>
      <c r="E1302">
        <v>24451.25</v>
      </c>
      <c r="F1302" s="2">
        <f t="shared" si="61"/>
        <v>30.900000000001455</v>
      </c>
      <c r="G1302" s="3">
        <f t="shared" si="62"/>
        <v>26.569189109723368</v>
      </c>
      <c r="H1302" t="str">
        <f t="shared" si="60"/>
        <v>2026-08</v>
      </c>
      <c r="I1302">
        <v>3</v>
      </c>
    </row>
    <row r="1303" spans="1:9" x14ac:dyDescent="0.25">
      <c r="A1303" t="s">
        <v>1308</v>
      </c>
      <c r="B1303">
        <v>24451.3</v>
      </c>
      <c r="C1303">
        <v>24455.7</v>
      </c>
      <c r="D1303">
        <v>24437.55</v>
      </c>
      <c r="E1303">
        <v>24442.6</v>
      </c>
      <c r="F1303" s="2">
        <f t="shared" si="61"/>
        <v>18.150000000001455</v>
      </c>
      <c r="G1303" s="3">
        <f t="shared" si="62"/>
        <v>25.967818459028944</v>
      </c>
      <c r="H1303" t="str">
        <f t="shared" si="60"/>
        <v>2026-08</v>
      </c>
      <c r="I1303">
        <v>3</v>
      </c>
    </row>
    <row r="1304" spans="1:9" x14ac:dyDescent="0.25">
      <c r="A1304" t="s">
        <v>1309</v>
      </c>
      <c r="B1304">
        <v>24442.799999999999</v>
      </c>
      <c r="C1304">
        <v>24452.3</v>
      </c>
      <c r="D1304">
        <v>24436.7</v>
      </c>
      <c r="E1304">
        <v>24448.6</v>
      </c>
      <c r="F1304" s="2">
        <f t="shared" si="61"/>
        <v>15.599999999998545</v>
      </c>
      <c r="G1304" s="3">
        <f t="shared" si="62"/>
        <v>25.227259997669627</v>
      </c>
      <c r="H1304" t="str">
        <f t="shared" si="60"/>
        <v>2026-08</v>
      </c>
      <c r="I1304">
        <v>3</v>
      </c>
    </row>
    <row r="1305" spans="1:9" x14ac:dyDescent="0.25">
      <c r="A1305" t="s">
        <v>1310</v>
      </c>
      <c r="B1305">
        <v>24448.75</v>
      </c>
      <c r="C1305">
        <v>24456.45</v>
      </c>
      <c r="D1305">
        <v>24435.45</v>
      </c>
      <c r="E1305">
        <v>24444.05</v>
      </c>
      <c r="F1305" s="2">
        <f t="shared" si="61"/>
        <v>21</v>
      </c>
      <c r="G1305" s="3">
        <f t="shared" si="62"/>
        <v>24.925312854978937</v>
      </c>
      <c r="H1305" t="str">
        <f t="shared" si="60"/>
        <v>2026-08</v>
      </c>
      <c r="I1305">
        <v>3</v>
      </c>
    </row>
    <row r="1306" spans="1:9" x14ac:dyDescent="0.25">
      <c r="A1306" t="s">
        <v>1311</v>
      </c>
      <c r="B1306">
        <v>24444.1</v>
      </c>
      <c r="C1306">
        <v>24450.75</v>
      </c>
      <c r="D1306">
        <v>24429.25</v>
      </c>
      <c r="E1306">
        <v>24444.65</v>
      </c>
      <c r="F1306" s="2">
        <f t="shared" si="61"/>
        <v>21.5</v>
      </c>
      <c r="G1306" s="3">
        <f t="shared" si="62"/>
        <v>24.680647651051867</v>
      </c>
      <c r="H1306" t="str">
        <f t="shared" si="60"/>
        <v>2026-08</v>
      </c>
      <c r="I1306">
        <v>3</v>
      </c>
    </row>
    <row r="1307" spans="1:9" x14ac:dyDescent="0.25">
      <c r="A1307" t="s">
        <v>1312</v>
      </c>
      <c r="B1307">
        <v>24444</v>
      </c>
      <c r="C1307">
        <v>24449</v>
      </c>
      <c r="D1307">
        <v>24430.35</v>
      </c>
      <c r="E1307">
        <v>24439.65</v>
      </c>
      <c r="F1307" s="2">
        <f t="shared" si="61"/>
        <v>18.650000000001455</v>
      </c>
      <c r="G1307" s="3">
        <f t="shared" si="62"/>
        <v>24.249887104548264</v>
      </c>
      <c r="H1307" t="str">
        <f t="shared" si="60"/>
        <v>2026-08</v>
      </c>
      <c r="I1307">
        <v>3</v>
      </c>
    </row>
    <row r="1308" spans="1:9" x14ac:dyDescent="0.25">
      <c r="A1308" t="s">
        <v>1313</v>
      </c>
      <c r="B1308">
        <v>24439.35</v>
      </c>
      <c r="C1308">
        <v>24452.400000000001</v>
      </c>
      <c r="D1308">
        <v>24433.5</v>
      </c>
      <c r="E1308">
        <v>24451.200000000001</v>
      </c>
      <c r="F1308" s="2">
        <f t="shared" si="61"/>
        <v>18.900000000001455</v>
      </c>
      <c r="G1308" s="3">
        <f t="shared" si="62"/>
        <v>23.867752311366353</v>
      </c>
      <c r="H1308" t="str">
        <f t="shared" si="60"/>
        <v>2026-08</v>
      </c>
      <c r="I1308">
        <v>3</v>
      </c>
    </row>
    <row r="1309" spans="1:9" x14ac:dyDescent="0.25">
      <c r="A1309" t="s">
        <v>1314</v>
      </c>
      <c r="B1309">
        <v>24451.95</v>
      </c>
      <c r="C1309">
        <v>24461.75</v>
      </c>
      <c r="D1309">
        <v>24439.55</v>
      </c>
      <c r="E1309">
        <v>24440.5</v>
      </c>
      <c r="F1309" s="2">
        <f t="shared" si="61"/>
        <v>22.200000000000728</v>
      </c>
      <c r="G1309" s="3">
        <f t="shared" si="62"/>
        <v>23.748627146268806</v>
      </c>
      <c r="H1309" t="str">
        <f t="shared" si="60"/>
        <v>2026-08</v>
      </c>
      <c r="I1309">
        <v>3</v>
      </c>
    </row>
    <row r="1310" spans="1:9" x14ac:dyDescent="0.25">
      <c r="A1310" t="s">
        <v>1315</v>
      </c>
      <c r="B1310">
        <v>24440.65</v>
      </c>
      <c r="C1310">
        <v>24466.65</v>
      </c>
      <c r="D1310">
        <v>24438.9</v>
      </c>
      <c r="E1310">
        <v>24453.15</v>
      </c>
      <c r="F1310" s="2">
        <f t="shared" si="61"/>
        <v>27.75</v>
      </c>
      <c r="G1310" s="3">
        <f t="shared" si="62"/>
        <v>24.034439492963891</v>
      </c>
      <c r="H1310" t="str">
        <f t="shared" si="60"/>
        <v>2026-08</v>
      </c>
      <c r="I1310">
        <v>3</v>
      </c>
    </row>
    <row r="1311" spans="1:9" x14ac:dyDescent="0.25">
      <c r="A1311" t="s">
        <v>1316</v>
      </c>
      <c r="B1311">
        <v>24453.35</v>
      </c>
      <c r="C1311">
        <v>24474.9</v>
      </c>
      <c r="D1311">
        <v>24441.8</v>
      </c>
      <c r="E1311">
        <v>24455.05</v>
      </c>
      <c r="F1311" s="2">
        <f t="shared" si="61"/>
        <v>33.100000000002183</v>
      </c>
      <c r="G1311" s="3">
        <f t="shared" si="62"/>
        <v>24.681979529180914</v>
      </c>
      <c r="H1311" t="str">
        <f t="shared" si="60"/>
        <v>2026-08</v>
      </c>
      <c r="I1311">
        <v>3</v>
      </c>
    </row>
    <row r="1312" spans="1:9" x14ac:dyDescent="0.25">
      <c r="A1312" t="s">
        <v>1317</v>
      </c>
      <c r="B1312">
        <v>24454.95</v>
      </c>
      <c r="C1312">
        <v>24471.45</v>
      </c>
      <c r="D1312">
        <v>24451.25</v>
      </c>
      <c r="E1312">
        <v>24460.55</v>
      </c>
      <c r="F1312" s="2">
        <f t="shared" si="61"/>
        <v>20.200000000000728</v>
      </c>
      <c r="G1312" s="3">
        <f t="shared" si="62"/>
        <v>24.36183813423947</v>
      </c>
      <c r="H1312" t="str">
        <f t="shared" si="60"/>
        <v>2026-08</v>
      </c>
      <c r="I1312">
        <v>3</v>
      </c>
    </row>
    <row r="1313" spans="1:9" x14ac:dyDescent="0.25">
      <c r="A1313" t="s">
        <v>1318</v>
      </c>
      <c r="B1313">
        <v>24460.65</v>
      </c>
      <c r="C1313">
        <v>24469.1</v>
      </c>
      <c r="D1313">
        <v>24445.8</v>
      </c>
      <c r="E1313">
        <v>24450.15</v>
      </c>
      <c r="F1313" s="2">
        <f t="shared" si="61"/>
        <v>23.299999999999272</v>
      </c>
      <c r="G1313" s="3">
        <f t="shared" si="62"/>
        <v>24.285992553222314</v>
      </c>
      <c r="H1313" t="str">
        <f t="shared" si="60"/>
        <v>2026-08</v>
      </c>
      <c r="I1313">
        <v>3</v>
      </c>
    </row>
    <row r="1314" spans="1:9" x14ac:dyDescent="0.25">
      <c r="A1314" t="s">
        <v>1319</v>
      </c>
      <c r="B1314">
        <v>24451</v>
      </c>
      <c r="C1314">
        <v>24466.15</v>
      </c>
      <c r="D1314">
        <v>24441.1</v>
      </c>
      <c r="E1314">
        <v>24462.55</v>
      </c>
      <c r="F1314" s="2">
        <f t="shared" si="61"/>
        <v>25.05000000000291</v>
      </c>
      <c r="G1314" s="3">
        <f t="shared" si="62"/>
        <v>24.340564513706642</v>
      </c>
      <c r="H1314" t="str">
        <f t="shared" si="60"/>
        <v>2026-08</v>
      </c>
      <c r="I1314">
        <v>3</v>
      </c>
    </row>
    <row r="1315" spans="1:9" x14ac:dyDescent="0.25">
      <c r="A1315" t="s">
        <v>1320</v>
      </c>
      <c r="B1315">
        <v>24464.2</v>
      </c>
      <c r="C1315">
        <v>24470</v>
      </c>
      <c r="D1315">
        <v>24447.3</v>
      </c>
      <c r="E1315">
        <v>24449.15</v>
      </c>
      <c r="F1315" s="2">
        <f t="shared" si="61"/>
        <v>22.700000000000728</v>
      </c>
      <c r="G1315" s="3">
        <f t="shared" si="62"/>
        <v>24.223381334156219</v>
      </c>
      <c r="H1315" t="str">
        <f t="shared" si="60"/>
        <v>2026-08</v>
      </c>
      <c r="I1315">
        <v>3</v>
      </c>
    </row>
    <row r="1316" spans="1:9" x14ac:dyDescent="0.25">
      <c r="A1316" t="s">
        <v>1321</v>
      </c>
      <c r="B1316">
        <v>24450.15</v>
      </c>
      <c r="C1316">
        <v>24455.65</v>
      </c>
      <c r="D1316">
        <v>24435.05</v>
      </c>
      <c r="E1316">
        <v>24448.05</v>
      </c>
      <c r="F1316" s="2">
        <f t="shared" si="61"/>
        <v>20.600000000002183</v>
      </c>
      <c r="G1316" s="3">
        <f t="shared" si="62"/>
        <v>23.964568381716646</v>
      </c>
      <c r="H1316" t="str">
        <f t="shared" si="60"/>
        <v>2026-08</v>
      </c>
      <c r="I1316">
        <v>3</v>
      </c>
    </row>
    <row r="1317" spans="1:9" x14ac:dyDescent="0.25">
      <c r="A1317" t="s">
        <v>1322</v>
      </c>
      <c r="B1317">
        <v>24450.3</v>
      </c>
      <c r="C1317">
        <v>24469.200000000001</v>
      </c>
      <c r="D1317">
        <v>24448</v>
      </c>
      <c r="E1317">
        <v>24464.2</v>
      </c>
      <c r="F1317" s="2">
        <f t="shared" si="61"/>
        <v>21.200000000000728</v>
      </c>
      <c r="G1317" s="3">
        <f t="shared" si="62"/>
        <v>23.767099211594079</v>
      </c>
      <c r="H1317" t="str">
        <f t="shared" si="60"/>
        <v>2026-08</v>
      </c>
      <c r="I1317">
        <v>3</v>
      </c>
    </row>
    <row r="1318" spans="1:9" x14ac:dyDescent="0.25">
      <c r="A1318" t="s">
        <v>1323</v>
      </c>
      <c r="B1318">
        <v>24465.3</v>
      </c>
      <c r="C1318">
        <v>24476.45</v>
      </c>
      <c r="D1318">
        <v>24442.65</v>
      </c>
      <c r="E1318">
        <v>24450</v>
      </c>
      <c r="F1318" s="2">
        <f t="shared" si="61"/>
        <v>33.799999999999272</v>
      </c>
      <c r="G1318" s="3">
        <f t="shared" si="62"/>
        <v>24.483734982194449</v>
      </c>
      <c r="H1318" t="str">
        <f t="shared" si="60"/>
        <v>2026-08</v>
      </c>
      <c r="I1318">
        <v>3</v>
      </c>
    </row>
    <row r="1319" spans="1:9" x14ac:dyDescent="0.25">
      <c r="A1319" t="s">
        <v>1324</v>
      </c>
      <c r="B1319">
        <v>24473.3</v>
      </c>
      <c r="C1319">
        <v>24473.3</v>
      </c>
      <c r="D1319">
        <v>24390.6</v>
      </c>
      <c r="E1319">
        <v>24457.25</v>
      </c>
      <c r="F1319" s="2">
        <f t="shared" si="61"/>
        <v>82.700000000000728</v>
      </c>
      <c r="G1319" s="3">
        <f t="shared" si="62"/>
        <v>28.64203962632347</v>
      </c>
      <c r="H1319" t="str">
        <f t="shared" si="60"/>
        <v>2026-08</v>
      </c>
      <c r="I1319">
        <v>3</v>
      </c>
    </row>
    <row r="1320" spans="1:9" x14ac:dyDescent="0.25">
      <c r="A1320" t="s">
        <v>1325</v>
      </c>
      <c r="B1320">
        <v>24457.4</v>
      </c>
      <c r="C1320">
        <v>24458.55</v>
      </c>
      <c r="D1320">
        <v>24420.799999999999</v>
      </c>
      <c r="E1320">
        <v>24428.15</v>
      </c>
      <c r="F1320" s="2">
        <f t="shared" si="61"/>
        <v>37.75</v>
      </c>
      <c r="G1320" s="3">
        <f t="shared" si="62"/>
        <v>29.292608224443224</v>
      </c>
      <c r="H1320" t="str">
        <f t="shared" si="60"/>
        <v>2026-08</v>
      </c>
      <c r="I1320">
        <v>3</v>
      </c>
    </row>
    <row r="1321" spans="1:9" x14ac:dyDescent="0.25">
      <c r="A1321" t="s">
        <v>1326</v>
      </c>
      <c r="B1321">
        <v>24428</v>
      </c>
      <c r="C1321">
        <v>24428.85</v>
      </c>
      <c r="D1321">
        <v>24376.55</v>
      </c>
      <c r="E1321">
        <v>24377.95</v>
      </c>
      <c r="F1321" s="2">
        <f t="shared" si="61"/>
        <v>52.299999999999272</v>
      </c>
      <c r="G1321" s="3">
        <f t="shared" si="62"/>
        <v>30.935993351268657</v>
      </c>
      <c r="H1321" t="str">
        <f t="shared" si="60"/>
        <v>2026-08</v>
      </c>
      <c r="I1321">
        <v>3</v>
      </c>
    </row>
    <row r="1322" spans="1:9" x14ac:dyDescent="0.25">
      <c r="A1322" t="s">
        <v>1327</v>
      </c>
      <c r="B1322">
        <v>24378.55</v>
      </c>
      <c r="C1322">
        <v>24379.5</v>
      </c>
      <c r="D1322">
        <v>24357.5</v>
      </c>
      <c r="E1322">
        <v>24365.3</v>
      </c>
      <c r="F1322" s="2">
        <f t="shared" si="61"/>
        <v>22</v>
      </c>
      <c r="G1322" s="3">
        <f t="shared" si="62"/>
        <v>30.297708111892323</v>
      </c>
      <c r="H1322" t="str">
        <f t="shared" si="60"/>
        <v>2026-08</v>
      </c>
      <c r="I1322">
        <v>3</v>
      </c>
    </row>
    <row r="1323" spans="1:9" x14ac:dyDescent="0.25">
      <c r="A1323" t="s">
        <v>1328</v>
      </c>
      <c r="B1323">
        <v>24365.1</v>
      </c>
      <c r="C1323">
        <v>24383.35</v>
      </c>
      <c r="D1323">
        <v>24359.25</v>
      </c>
      <c r="E1323">
        <v>24371.9</v>
      </c>
      <c r="F1323" s="2">
        <f t="shared" si="61"/>
        <v>24.099999999998545</v>
      </c>
      <c r="G1323" s="3">
        <f t="shared" si="62"/>
        <v>29.85501467532848</v>
      </c>
      <c r="H1323" t="str">
        <f t="shared" si="60"/>
        <v>2026-08</v>
      </c>
      <c r="I1323">
        <v>3</v>
      </c>
    </row>
    <row r="1324" spans="1:9" x14ac:dyDescent="0.25">
      <c r="A1324" t="s">
        <v>1329</v>
      </c>
      <c r="B1324">
        <v>24371.5</v>
      </c>
      <c r="C1324">
        <v>24400.95</v>
      </c>
      <c r="D1324">
        <v>24370.2</v>
      </c>
      <c r="E1324">
        <v>24375.65</v>
      </c>
      <c r="F1324" s="2">
        <f t="shared" si="61"/>
        <v>30.75</v>
      </c>
      <c r="G1324" s="3">
        <f t="shared" si="62"/>
        <v>29.9189421985193</v>
      </c>
      <c r="H1324" t="str">
        <f t="shared" si="60"/>
        <v>2026-08</v>
      </c>
      <c r="I1324">
        <v>3</v>
      </c>
    </row>
    <row r="1325" spans="1:9" x14ac:dyDescent="0.25">
      <c r="A1325" t="s">
        <v>1330</v>
      </c>
      <c r="B1325">
        <v>24376.15</v>
      </c>
      <c r="C1325">
        <v>24376.15</v>
      </c>
      <c r="D1325">
        <v>24309.35</v>
      </c>
      <c r="E1325">
        <v>24318.3</v>
      </c>
      <c r="F1325" s="2">
        <f t="shared" si="61"/>
        <v>66.80000000000291</v>
      </c>
      <c r="G1325" s="3">
        <f t="shared" si="62"/>
        <v>32.553303470053841</v>
      </c>
      <c r="H1325" t="str">
        <f t="shared" si="60"/>
        <v>2026-08</v>
      </c>
      <c r="I1325">
        <v>3</v>
      </c>
    </row>
    <row r="1326" spans="1:9" x14ac:dyDescent="0.25">
      <c r="A1326" t="s">
        <v>1331</v>
      </c>
      <c r="B1326">
        <v>24318.65</v>
      </c>
      <c r="C1326">
        <v>24322.7</v>
      </c>
      <c r="D1326">
        <v>24293.35</v>
      </c>
      <c r="E1326">
        <v>24302.400000000001</v>
      </c>
      <c r="F1326" s="2">
        <f t="shared" si="61"/>
        <v>29.350000000002183</v>
      </c>
      <c r="G1326" s="3">
        <f t="shared" si="62"/>
        <v>32.324496079335866</v>
      </c>
      <c r="H1326" t="str">
        <f t="shared" si="60"/>
        <v>2026-08</v>
      </c>
      <c r="I1326">
        <v>3</v>
      </c>
    </row>
    <row r="1327" spans="1:9" x14ac:dyDescent="0.25">
      <c r="A1327" t="s">
        <v>1332</v>
      </c>
      <c r="B1327">
        <v>24302.9</v>
      </c>
      <c r="C1327">
        <v>24318.799999999999</v>
      </c>
      <c r="D1327">
        <v>24293.1</v>
      </c>
      <c r="E1327">
        <v>24296.95</v>
      </c>
      <c r="F1327" s="2">
        <f t="shared" si="61"/>
        <v>25.700000000000728</v>
      </c>
      <c r="G1327" s="3">
        <f t="shared" si="62"/>
        <v>31.851317787954788</v>
      </c>
      <c r="H1327" t="str">
        <f t="shared" si="60"/>
        <v>2026-08</v>
      </c>
      <c r="I1327">
        <v>3</v>
      </c>
    </row>
    <row r="1328" spans="1:9" x14ac:dyDescent="0.25">
      <c r="A1328" t="s">
        <v>1333</v>
      </c>
      <c r="B1328">
        <v>24297.05</v>
      </c>
      <c r="C1328">
        <v>24304.7</v>
      </c>
      <c r="D1328">
        <v>24278.25</v>
      </c>
      <c r="E1328">
        <v>24293.7</v>
      </c>
      <c r="F1328" s="2">
        <f t="shared" si="61"/>
        <v>26.450000000000728</v>
      </c>
      <c r="G1328" s="3">
        <f t="shared" si="62"/>
        <v>31.465509374529496</v>
      </c>
      <c r="H1328" t="str">
        <f t="shared" si="60"/>
        <v>2026-08</v>
      </c>
      <c r="I1328">
        <v>3</v>
      </c>
    </row>
    <row r="1329" spans="1:9" x14ac:dyDescent="0.25">
      <c r="A1329" t="s">
        <v>1334</v>
      </c>
      <c r="B1329">
        <v>24294.2</v>
      </c>
      <c r="C1329">
        <v>24298.05</v>
      </c>
      <c r="D1329">
        <v>24271.05</v>
      </c>
      <c r="E1329">
        <v>24279.55</v>
      </c>
      <c r="F1329" s="2">
        <f t="shared" si="61"/>
        <v>27</v>
      </c>
      <c r="G1329" s="3">
        <f t="shared" si="62"/>
        <v>31.146544419205959</v>
      </c>
      <c r="H1329" t="str">
        <f t="shared" si="60"/>
        <v>2026-08</v>
      </c>
      <c r="I1329">
        <v>3</v>
      </c>
    </row>
    <row r="1330" spans="1:9" x14ac:dyDescent="0.25">
      <c r="A1330" t="s">
        <v>1335</v>
      </c>
      <c r="B1330">
        <v>24279.65</v>
      </c>
      <c r="C1330">
        <v>24282.25</v>
      </c>
      <c r="D1330">
        <v>24265.95</v>
      </c>
      <c r="E1330">
        <v>24267.1</v>
      </c>
      <c r="F1330" s="2">
        <f t="shared" si="61"/>
        <v>16.299999999999272</v>
      </c>
      <c r="G1330" s="3">
        <f t="shared" si="62"/>
        <v>30.086076960691198</v>
      </c>
      <c r="H1330" t="str">
        <f t="shared" si="60"/>
        <v>2026-08</v>
      </c>
      <c r="I1330">
        <v>3</v>
      </c>
    </row>
    <row r="1331" spans="1:9" x14ac:dyDescent="0.25">
      <c r="A1331" t="s">
        <v>1336</v>
      </c>
      <c r="B1331">
        <v>24268.9</v>
      </c>
      <c r="C1331">
        <v>24282.799999999999</v>
      </c>
      <c r="D1331">
        <v>24266.400000000001</v>
      </c>
      <c r="E1331">
        <v>24281.3</v>
      </c>
      <c r="F1331" s="2">
        <f t="shared" si="61"/>
        <v>16.399999999997817</v>
      </c>
      <c r="G1331" s="3">
        <f t="shared" si="62"/>
        <v>29.108500034927385</v>
      </c>
      <c r="H1331" t="str">
        <f t="shared" si="60"/>
        <v>2026-08</v>
      </c>
      <c r="I1331">
        <v>3</v>
      </c>
    </row>
    <row r="1332" spans="1:9" x14ac:dyDescent="0.25">
      <c r="A1332" t="s">
        <v>1337</v>
      </c>
      <c r="B1332">
        <v>24282.1</v>
      </c>
      <c r="C1332">
        <v>24303.200000000001</v>
      </c>
      <c r="D1332">
        <v>24275.25</v>
      </c>
      <c r="E1332">
        <v>24283.1</v>
      </c>
      <c r="F1332" s="2">
        <f t="shared" si="61"/>
        <v>27.950000000000728</v>
      </c>
      <c r="G1332" s="3">
        <f t="shared" si="62"/>
        <v>29.025750032432622</v>
      </c>
      <c r="H1332" t="str">
        <f t="shared" si="60"/>
        <v>2026-08</v>
      </c>
      <c r="I1332">
        <v>3</v>
      </c>
    </row>
    <row r="1333" spans="1:9" x14ac:dyDescent="0.25">
      <c r="A1333" t="s">
        <v>1338</v>
      </c>
      <c r="B1333">
        <v>24283.200000000001</v>
      </c>
      <c r="C1333">
        <v>24289.75</v>
      </c>
      <c r="D1333">
        <v>24270.15</v>
      </c>
      <c r="E1333">
        <v>24275.9</v>
      </c>
      <c r="F1333" s="2">
        <f t="shared" si="61"/>
        <v>19.599999999998545</v>
      </c>
      <c r="G1333" s="3">
        <f t="shared" si="62"/>
        <v>28.352482172973048</v>
      </c>
      <c r="H1333" t="str">
        <f t="shared" si="60"/>
        <v>2026-08</v>
      </c>
      <c r="I1333">
        <v>3</v>
      </c>
    </row>
    <row r="1334" spans="1:9" x14ac:dyDescent="0.25">
      <c r="A1334" t="s">
        <v>1339</v>
      </c>
      <c r="B1334">
        <v>24276.55</v>
      </c>
      <c r="C1334">
        <v>24288.400000000001</v>
      </c>
      <c r="D1334">
        <v>24272.9</v>
      </c>
      <c r="E1334">
        <v>24287.95</v>
      </c>
      <c r="F1334" s="2">
        <f t="shared" si="61"/>
        <v>15.5</v>
      </c>
      <c r="G1334" s="3">
        <f t="shared" si="62"/>
        <v>27.434447732046401</v>
      </c>
      <c r="H1334" t="str">
        <f t="shared" si="60"/>
        <v>2026-08</v>
      </c>
      <c r="I1334">
        <v>3</v>
      </c>
    </row>
    <row r="1335" spans="1:9" x14ac:dyDescent="0.25">
      <c r="A1335" t="s">
        <v>1340</v>
      </c>
      <c r="B1335">
        <v>24288.25</v>
      </c>
      <c r="C1335">
        <v>24300.7</v>
      </c>
      <c r="D1335">
        <v>24282</v>
      </c>
      <c r="E1335">
        <v>24291.55</v>
      </c>
      <c r="F1335" s="2">
        <f t="shared" si="61"/>
        <v>18.700000000000728</v>
      </c>
      <c r="G1335" s="3">
        <f t="shared" si="62"/>
        <v>26.810558608328851</v>
      </c>
      <c r="H1335" t="str">
        <f t="shared" si="60"/>
        <v>2026-08</v>
      </c>
      <c r="I1335">
        <v>3</v>
      </c>
    </row>
    <row r="1336" spans="1:9" x14ac:dyDescent="0.25">
      <c r="A1336" t="s">
        <v>1341</v>
      </c>
      <c r="B1336">
        <v>24292.85</v>
      </c>
      <c r="C1336">
        <v>24301.45</v>
      </c>
      <c r="D1336">
        <v>24285.55</v>
      </c>
      <c r="E1336">
        <v>24289.3</v>
      </c>
      <c r="F1336" s="2">
        <f t="shared" si="61"/>
        <v>15.900000000001455</v>
      </c>
      <c r="G1336" s="3">
        <f t="shared" si="62"/>
        <v>26.031232993448324</v>
      </c>
      <c r="H1336" t="str">
        <f t="shared" si="60"/>
        <v>2026-08</v>
      </c>
      <c r="I1336">
        <v>3</v>
      </c>
    </row>
    <row r="1337" spans="1:9" x14ac:dyDescent="0.25">
      <c r="A1337" t="s">
        <v>1342</v>
      </c>
      <c r="B1337">
        <v>24289.7</v>
      </c>
      <c r="C1337">
        <v>24292.400000000001</v>
      </c>
      <c r="D1337">
        <v>24280</v>
      </c>
      <c r="E1337">
        <v>24286.45</v>
      </c>
      <c r="F1337" s="2">
        <f t="shared" si="61"/>
        <v>12.400000000001455</v>
      </c>
      <c r="G1337" s="3">
        <f t="shared" si="62"/>
        <v>25.057573493916404</v>
      </c>
      <c r="H1337" t="str">
        <f t="shared" si="60"/>
        <v>2026-08</v>
      </c>
      <c r="I1337">
        <v>3</v>
      </c>
    </row>
    <row r="1338" spans="1:9" x14ac:dyDescent="0.25">
      <c r="A1338" t="s">
        <v>1343</v>
      </c>
      <c r="B1338">
        <v>24286.400000000001</v>
      </c>
      <c r="C1338">
        <v>24288.9</v>
      </c>
      <c r="D1338">
        <v>24275.4</v>
      </c>
      <c r="E1338">
        <v>24278.400000000001</v>
      </c>
      <c r="F1338" s="2">
        <f t="shared" si="61"/>
        <v>13.5</v>
      </c>
      <c r="G1338" s="3">
        <f t="shared" si="62"/>
        <v>24.232032530065233</v>
      </c>
      <c r="H1338" t="str">
        <f t="shared" si="60"/>
        <v>2026-08</v>
      </c>
      <c r="I1338">
        <v>3</v>
      </c>
    </row>
    <row r="1339" spans="1:9" x14ac:dyDescent="0.25">
      <c r="A1339" t="s">
        <v>1344</v>
      </c>
      <c r="B1339">
        <v>24278.2</v>
      </c>
      <c r="C1339">
        <v>24300.7</v>
      </c>
      <c r="D1339">
        <v>24277.45</v>
      </c>
      <c r="E1339">
        <v>24297.5</v>
      </c>
      <c r="F1339" s="2">
        <f t="shared" si="61"/>
        <v>23.25</v>
      </c>
      <c r="G1339" s="3">
        <f t="shared" si="62"/>
        <v>24.161887349346291</v>
      </c>
      <c r="H1339" t="str">
        <f t="shared" si="60"/>
        <v>2026-08</v>
      </c>
      <c r="I1339">
        <v>3</v>
      </c>
    </row>
    <row r="1340" spans="1:9" x14ac:dyDescent="0.25">
      <c r="A1340" t="s">
        <v>1345</v>
      </c>
      <c r="B1340">
        <v>24298.55</v>
      </c>
      <c r="C1340">
        <v>24334.7</v>
      </c>
      <c r="D1340">
        <v>24297.75</v>
      </c>
      <c r="E1340">
        <v>24325.95</v>
      </c>
      <c r="F1340" s="2">
        <f t="shared" si="61"/>
        <v>37.200000000000728</v>
      </c>
      <c r="G1340" s="3">
        <f t="shared" si="62"/>
        <v>25.09318111010732</v>
      </c>
      <c r="H1340" t="str">
        <f t="shared" si="60"/>
        <v>2026-08</v>
      </c>
      <c r="I1340">
        <v>3</v>
      </c>
    </row>
    <row r="1341" spans="1:9" x14ac:dyDescent="0.25">
      <c r="A1341" t="s">
        <v>1346</v>
      </c>
      <c r="B1341">
        <v>24326</v>
      </c>
      <c r="C1341">
        <v>24384.9</v>
      </c>
      <c r="D1341">
        <v>24316.75</v>
      </c>
      <c r="E1341">
        <v>24370.05</v>
      </c>
      <c r="F1341" s="2">
        <f t="shared" si="61"/>
        <v>68.150000000001455</v>
      </c>
      <c r="G1341" s="3">
        <f t="shared" si="62"/>
        <v>28.168668173671186</v>
      </c>
      <c r="H1341" t="str">
        <f t="shared" si="60"/>
        <v>2026-08</v>
      </c>
      <c r="I1341">
        <v>3</v>
      </c>
    </row>
    <row r="1342" spans="1:9" x14ac:dyDescent="0.25">
      <c r="A1342" t="s">
        <v>1347</v>
      </c>
      <c r="B1342">
        <v>24371.15</v>
      </c>
      <c r="C1342">
        <v>24375.55</v>
      </c>
      <c r="D1342">
        <v>24341.8</v>
      </c>
      <c r="E1342">
        <v>24369.3</v>
      </c>
      <c r="F1342" s="2">
        <f t="shared" si="61"/>
        <v>33.75</v>
      </c>
      <c r="G1342" s="3">
        <f t="shared" si="62"/>
        <v>28.567334732694672</v>
      </c>
      <c r="H1342" t="str">
        <f t="shared" si="60"/>
        <v>2026-08</v>
      </c>
      <c r="I1342">
        <v>3</v>
      </c>
    </row>
    <row r="1343" spans="1:9" x14ac:dyDescent="0.25">
      <c r="A1343" t="s">
        <v>1348</v>
      </c>
      <c r="B1343">
        <v>24424.75</v>
      </c>
      <c r="C1343">
        <v>24428.9</v>
      </c>
      <c r="D1343">
        <v>24326.1</v>
      </c>
      <c r="E1343">
        <v>24339.15</v>
      </c>
      <c r="F1343" s="2">
        <f t="shared" si="61"/>
        <v>102.80000000000291</v>
      </c>
      <c r="G1343" s="3">
        <f t="shared" si="62"/>
        <v>33.869667966073834</v>
      </c>
      <c r="H1343" t="str">
        <f t="shared" si="60"/>
        <v>2026-08</v>
      </c>
      <c r="I1343">
        <v>3</v>
      </c>
    </row>
    <row r="1344" spans="1:9" x14ac:dyDescent="0.25">
      <c r="A1344" t="s">
        <v>1349</v>
      </c>
      <c r="B1344">
        <v>24342.05</v>
      </c>
      <c r="C1344">
        <v>24350.95</v>
      </c>
      <c r="D1344">
        <v>24316.3</v>
      </c>
      <c r="E1344">
        <v>24346.35</v>
      </c>
      <c r="F1344" s="2">
        <f t="shared" si="61"/>
        <v>34.650000000001455</v>
      </c>
      <c r="G1344" s="3">
        <f t="shared" si="62"/>
        <v>33.925405968497238</v>
      </c>
      <c r="H1344" t="str">
        <f t="shared" si="60"/>
        <v>2026-08</v>
      </c>
      <c r="I1344">
        <v>3</v>
      </c>
    </row>
    <row r="1345" spans="1:9" x14ac:dyDescent="0.25">
      <c r="A1345" t="s">
        <v>1350</v>
      </c>
      <c r="B1345">
        <v>24347.5</v>
      </c>
      <c r="C1345">
        <v>24356.65</v>
      </c>
      <c r="D1345">
        <v>24336.65</v>
      </c>
      <c r="E1345">
        <v>24351.55</v>
      </c>
      <c r="F1345" s="2">
        <f t="shared" si="61"/>
        <v>20</v>
      </c>
      <c r="G1345" s="3">
        <f t="shared" si="62"/>
        <v>32.930734113604579</v>
      </c>
      <c r="H1345" t="str">
        <f t="shared" si="60"/>
        <v>2026-08</v>
      </c>
      <c r="I1345">
        <v>3</v>
      </c>
    </row>
    <row r="1346" spans="1:9" x14ac:dyDescent="0.25">
      <c r="A1346" t="s">
        <v>1351</v>
      </c>
      <c r="B1346">
        <v>24352</v>
      </c>
      <c r="C1346">
        <v>24354.55</v>
      </c>
      <c r="D1346">
        <v>24330.3</v>
      </c>
      <c r="E1346">
        <v>24343.55</v>
      </c>
      <c r="F1346" s="2">
        <f t="shared" si="61"/>
        <v>24.25</v>
      </c>
      <c r="G1346" s="3">
        <f t="shared" si="62"/>
        <v>32.310681676918541</v>
      </c>
      <c r="H1346" t="str">
        <f t="shared" ref="H1346:H1409" si="63">LEFT(A1346,7)</f>
        <v>2026-08</v>
      </c>
      <c r="I1346">
        <v>3</v>
      </c>
    </row>
    <row r="1347" spans="1:9" x14ac:dyDescent="0.25">
      <c r="A1347" t="s">
        <v>1352</v>
      </c>
      <c r="B1347">
        <v>24346.25</v>
      </c>
      <c r="C1347">
        <v>24346.25</v>
      </c>
      <c r="D1347">
        <v>24318.2</v>
      </c>
      <c r="E1347">
        <v>24319.15</v>
      </c>
      <c r="F1347" s="2">
        <f t="shared" ref="F1347:F1410" si="64">MAX(C1347-D1347,ABS(C1347-E1346),ABS(D1347-E1346))</f>
        <v>28.049999999999272</v>
      </c>
      <c r="G1347" s="3">
        <f t="shared" si="62"/>
        <v>32.00634727142431</v>
      </c>
      <c r="H1347" t="str">
        <f t="shared" si="63"/>
        <v>2026-08</v>
      </c>
      <c r="I1347">
        <v>3</v>
      </c>
    </row>
    <row r="1348" spans="1:9" x14ac:dyDescent="0.25">
      <c r="A1348" t="s">
        <v>1353</v>
      </c>
      <c r="B1348">
        <v>24320.400000000001</v>
      </c>
      <c r="C1348">
        <v>24332.799999999999</v>
      </c>
      <c r="D1348">
        <v>24311.4</v>
      </c>
      <c r="E1348">
        <v>24330.799999999999</v>
      </c>
      <c r="F1348" s="2">
        <f t="shared" si="64"/>
        <v>21.399999999997817</v>
      </c>
      <c r="G1348" s="3">
        <f t="shared" si="62"/>
        <v>31.248751037750989</v>
      </c>
      <c r="H1348" t="str">
        <f t="shared" si="63"/>
        <v>2026-08</v>
      </c>
      <c r="I1348">
        <v>3</v>
      </c>
    </row>
    <row r="1349" spans="1:9" x14ac:dyDescent="0.25">
      <c r="A1349" t="s">
        <v>1354</v>
      </c>
      <c r="B1349">
        <v>24331.1</v>
      </c>
      <c r="C1349">
        <v>24348.65</v>
      </c>
      <c r="D1349">
        <v>24326.7</v>
      </c>
      <c r="E1349">
        <v>24338.25</v>
      </c>
      <c r="F1349" s="2">
        <f t="shared" si="64"/>
        <v>21.950000000000728</v>
      </c>
      <c r="G1349" s="3">
        <f t="shared" si="62"/>
        <v>30.58455453505454</v>
      </c>
      <c r="H1349" t="str">
        <f t="shared" si="63"/>
        <v>2026-08</v>
      </c>
      <c r="I1349">
        <v>3</v>
      </c>
    </row>
    <row r="1350" spans="1:9" x14ac:dyDescent="0.25">
      <c r="A1350" t="s">
        <v>1355</v>
      </c>
      <c r="B1350">
        <v>24339.85</v>
      </c>
      <c r="C1350">
        <v>24340</v>
      </c>
      <c r="D1350">
        <v>24314.3</v>
      </c>
      <c r="E1350">
        <v>24319.05</v>
      </c>
      <c r="F1350" s="2">
        <f t="shared" si="64"/>
        <v>25.700000000000728</v>
      </c>
      <c r="G1350" s="3">
        <f t="shared" si="62"/>
        <v>30.235657782550696</v>
      </c>
      <c r="H1350" t="str">
        <f t="shared" si="63"/>
        <v>2026-08</v>
      </c>
      <c r="I1350">
        <v>3</v>
      </c>
    </row>
    <row r="1351" spans="1:9" x14ac:dyDescent="0.25">
      <c r="A1351" t="s">
        <v>1356</v>
      </c>
      <c r="B1351">
        <v>24319.85</v>
      </c>
      <c r="C1351">
        <v>24339.599999999999</v>
      </c>
      <c r="D1351">
        <v>24317.8</v>
      </c>
      <c r="E1351">
        <v>24338.799999999999</v>
      </c>
      <c r="F1351" s="2">
        <f t="shared" si="64"/>
        <v>21.799999999999272</v>
      </c>
      <c r="G1351" s="3">
        <f t="shared" si="62"/>
        <v>29.633110798082736</v>
      </c>
      <c r="H1351" t="str">
        <f t="shared" si="63"/>
        <v>2026-08</v>
      </c>
      <c r="I1351">
        <v>3</v>
      </c>
    </row>
    <row r="1352" spans="1:9" x14ac:dyDescent="0.25">
      <c r="A1352" t="s">
        <v>1357</v>
      </c>
      <c r="B1352">
        <v>24339.95</v>
      </c>
      <c r="C1352">
        <v>24363.35</v>
      </c>
      <c r="D1352">
        <v>24338.1</v>
      </c>
      <c r="E1352">
        <v>24350.05</v>
      </c>
      <c r="F1352" s="2">
        <f t="shared" si="64"/>
        <v>25.25</v>
      </c>
      <c r="G1352" s="3">
        <f t="shared" si="62"/>
        <v>29.320031455362539</v>
      </c>
      <c r="H1352" t="str">
        <f t="shared" si="63"/>
        <v>2026-08</v>
      </c>
      <c r="I1352">
        <v>3</v>
      </c>
    </row>
    <row r="1353" spans="1:9" x14ac:dyDescent="0.25">
      <c r="A1353" t="s">
        <v>1358</v>
      </c>
      <c r="B1353">
        <v>24350.65</v>
      </c>
      <c r="C1353">
        <v>24386.799999999999</v>
      </c>
      <c r="D1353">
        <v>24346.85</v>
      </c>
      <c r="E1353">
        <v>24386.45</v>
      </c>
      <c r="F1353" s="2">
        <f t="shared" si="64"/>
        <v>39.950000000000728</v>
      </c>
      <c r="G1353" s="3">
        <f t="shared" si="62"/>
        <v>30.079314922836694</v>
      </c>
      <c r="H1353" t="str">
        <f t="shared" si="63"/>
        <v>2026-08</v>
      </c>
      <c r="I1353">
        <v>3</v>
      </c>
    </row>
    <row r="1354" spans="1:9" x14ac:dyDescent="0.25">
      <c r="A1354" t="s">
        <v>1359</v>
      </c>
      <c r="B1354">
        <v>24387.599999999999</v>
      </c>
      <c r="C1354">
        <v>24414.9</v>
      </c>
      <c r="D1354">
        <v>24386.3</v>
      </c>
      <c r="E1354">
        <v>24395.65</v>
      </c>
      <c r="F1354" s="2">
        <f t="shared" si="64"/>
        <v>28.600000000002183</v>
      </c>
      <c r="G1354" s="3">
        <f t="shared" si="62"/>
        <v>29.973649571205659</v>
      </c>
      <c r="H1354" t="str">
        <f t="shared" si="63"/>
        <v>2026-08</v>
      </c>
      <c r="I1354">
        <v>3</v>
      </c>
    </row>
    <row r="1355" spans="1:9" x14ac:dyDescent="0.25">
      <c r="A1355" t="s">
        <v>1360</v>
      </c>
      <c r="B1355">
        <v>24397.4</v>
      </c>
      <c r="C1355">
        <v>24403.55</v>
      </c>
      <c r="D1355">
        <v>24388.25</v>
      </c>
      <c r="E1355">
        <v>24393.35</v>
      </c>
      <c r="F1355" s="2">
        <f t="shared" si="64"/>
        <v>15.299999999999272</v>
      </c>
      <c r="G1355" s="3">
        <f t="shared" si="62"/>
        <v>28.925531744690918</v>
      </c>
      <c r="H1355" t="str">
        <f t="shared" si="63"/>
        <v>2026-08</v>
      </c>
      <c r="I1355">
        <v>3</v>
      </c>
    </row>
    <row r="1356" spans="1:9" x14ac:dyDescent="0.25">
      <c r="A1356" t="s">
        <v>1361</v>
      </c>
      <c r="B1356">
        <v>24395.8</v>
      </c>
      <c r="C1356">
        <v>24401.25</v>
      </c>
      <c r="D1356">
        <v>24385.599999999999</v>
      </c>
      <c r="E1356">
        <v>24391.7</v>
      </c>
      <c r="F1356" s="2">
        <f t="shared" si="64"/>
        <v>15.650000000001455</v>
      </c>
      <c r="G1356" s="3">
        <f t="shared" si="62"/>
        <v>27.977279477213099</v>
      </c>
      <c r="H1356" t="str">
        <f t="shared" si="63"/>
        <v>2026-08</v>
      </c>
      <c r="I1356">
        <v>3</v>
      </c>
    </row>
    <row r="1357" spans="1:9" x14ac:dyDescent="0.25">
      <c r="A1357" t="s">
        <v>1362</v>
      </c>
      <c r="B1357">
        <v>24393.55</v>
      </c>
      <c r="C1357">
        <v>24393.55</v>
      </c>
      <c r="D1357">
        <v>24361.35</v>
      </c>
      <c r="E1357">
        <v>24369.15</v>
      </c>
      <c r="F1357" s="2">
        <f t="shared" si="64"/>
        <v>32.200000000000728</v>
      </c>
      <c r="G1357" s="3">
        <f t="shared" si="62"/>
        <v>28.278902371697932</v>
      </c>
      <c r="H1357" t="str">
        <f t="shared" si="63"/>
        <v>2026-08</v>
      </c>
      <c r="I1357">
        <v>3</v>
      </c>
    </row>
    <row r="1358" spans="1:9" x14ac:dyDescent="0.25">
      <c r="A1358" t="s">
        <v>1363</v>
      </c>
      <c r="B1358">
        <v>24370.15</v>
      </c>
      <c r="C1358">
        <v>24371.85</v>
      </c>
      <c r="D1358">
        <v>24353.599999999999</v>
      </c>
      <c r="E1358">
        <v>24362.25</v>
      </c>
      <c r="F1358" s="2">
        <f t="shared" si="64"/>
        <v>18.25</v>
      </c>
      <c r="G1358" s="3">
        <f t="shared" si="62"/>
        <v>27.562552202290934</v>
      </c>
      <c r="H1358" t="str">
        <f t="shared" si="63"/>
        <v>2026-08</v>
      </c>
      <c r="I1358">
        <v>3</v>
      </c>
    </row>
    <row r="1359" spans="1:9" x14ac:dyDescent="0.25">
      <c r="A1359" t="s">
        <v>1364</v>
      </c>
      <c r="B1359">
        <v>24364.6</v>
      </c>
      <c r="C1359">
        <v>24372.799999999999</v>
      </c>
      <c r="D1359">
        <v>24348.85</v>
      </c>
      <c r="E1359">
        <v>24356.75</v>
      </c>
      <c r="F1359" s="2">
        <f t="shared" si="64"/>
        <v>23.950000000000728</v>
      </c>
      <c r="G1359" s="3">
        <f t="shared" si="62"/>
        <v>27.304512759270207</v>
      </c>
      <c r="H1359" t="str">
        <f t="shared" si="63"/>
        <v>2026-08</v>
      </c>
      <c r="I1359">
        <v>3</v>
      </c>
    </row>
    <row r="1360" spans="1:9" x14ac:dyDescent="0.25">
      <c r="A1360" t="s">
        <v>1365</v>
      </c>
      <c r="B1360">
        <v>24358.55</v>
      </c>
      <c r="C1360">
        <v>24388</v>
      </c>
      <c r="D1360">
        <v>24348.799999999999</v>
      </c>
      <c r="E1360">
        <v>24383.8</v>
      </c>
      <c r="F1360" s="2">
        <f t="shared" si="64"/>
        <v>39.200000000000728</v>
      </c>
      <c r="G1360" s="3">
        <f t="shared" ref="G1360:G1423" si="65">(G1359*13+F1360)/14</f>
        <v>28.154190419322386</v>
      </c>
      <c r="H1360" t="str">
        <f t="shared" si="63"/>
        <v>2026-08</v>
      </c>
      <c r="I1360">
        <v>3</v>
      </c>
    </row>
    <row r="1361" spans="1:9" x14ac:dyDescent="0.25">
      <c r="A1361" t="s">
        <v>1366</v>
      </c>
      <c r="B1361">
        <v>24385.05</v>
      </c>
      <c r="C1361">
        <v>24396.55</v>
      </c>
      <c r="D1361">
        <v>24370.65</v>
      </c>
      <c r="E1361">
        <v>24394.15</v>
      </c>
      <c r="F1361" s="2">
        <f t="shared" si="64"/>
        <v>25.899999999997817</v>
      </c>
      <c r="G1361" s="3">
        <f t="shared" si="65"/>
        <v>27.993176817942061</v>
      </c>
      <c r="H1361" t="str">
        <f t="shared" si="63"/>
        <v>2026-08</v>
      </c>
      <c r="I1361">
        <v>3</v>
      </c>
    </row>
    <row r="1362" spans="1:9" x14ac:dyDescent="0.25">
      <c r="A1362" t="s">
        <v>1367</v>
      </c>
      <c r="B1362">
        <v>24395.5</v>
      </c>
      <c r="C1362">
        <v>24395.75</v>
      </c>
      <c r="D1362">
        <v>24353.15</v>
      </c>
      <c r="E1362">
        <v>24356.05</v>
      </c>
      <c r="F1362" s="2">
        <f t="shared" si="64"/>
        <v>42.599999999998545</v>
      </c>
      <c r="G1362" s="3">
        <f t="shared" si="65"/>
        <v>29.036521330946098</v>
      </c>
      <c r="H1362" t="str">
        <f t="shared" si="63"/>
        <v>2026-08</v>
      </c>
      <c r="I1362">
        <v>3</v>
      </c>
    </row>
    <row r="1363" spans="1:9" x14ac:dyDescent="0.25">
      <c r="A1363" t="s">
        <v>1368</v>
      </c>
      <c r="B1363">
        <v>24356.400000000001</v>
      </c>
      <c r="C1363">
        <v>24377.5</v>
      </c>
      <c r="D1363">
        <v>24349.200000000001</v>
      </c>
      <c r="E1363">
        <v>24371.65</v>
      </c>
      <c r="F1363" s="2">
        <f t="shared" si="64"/>
        <v>28.299999999999272</v>
      </c>
      <c r="G1363" s="3">
        <f t="shared" si="65"/>
        <v>28.983912664449896</v>
      </c>
      <c r="H1363" t="str">
        <f t="shared" si="63"/>
        <v>2026-08</v>
      </c>
      <c r="I1363">
        <v>3</v>
      </c>
    </row>
    <row r="1364" spans="1:9" x14ac:dyDescent="0.25">
      <c r="A1364" t="s">
        <v>1369</v>
      </c>
      <c r="B1364">
        <v>24373.5</v>
      </c>
      <c r="C1364">
        <v>24375.5</v>
      </c>
      <c r="D1364">
        <v>24353.1</v>
      </c>
      <c r="E1364">
        <v>24359.85</v>
      </c>
      <c r="F1364" s="2">
        <f t="shared" si="64"/>
        <v>22.400000000001455</v>
      </c>
      <c r="G1364" s="3">
        <f t="shared" si="65"/>
        <v>28.513633188417863</v>
      </c>
      <c r="H1364" t="str">
        <f t="shared" si="63"/>
        <v>2026-08</v>
      </c>
      <c r="I1364">
        <v>3</v>
      </c>
    </row>
    <row r="1365" spans="1:9" x14ac:dyDescent="0.25">
      <c r="A1365" t="s">
        <v>1370</v>
      </c>
      <c r="B1365">
        <v>24362.45</v>
      </c>
      <c r="C1365">
        <v>24362.45</v>
      </c>
      <c r="D1365">
        <v>24336.5</v>
      </c>
      <c r="E1365">
        <v>24344.45</v>
      </c>
      <c r="F1365" s="2">
        <f t="shared" si="64"/>
        <v>25.950000000000728</v>
      </c>
      <c r="G1365" s="3">
        <f t="shared" si="65"/>
        <v>28.330516532102354</v>
      </c>
      <c r="H1365" t="str">
        <f t="shared" si="63"/>
        <v>2026-08</v>
      </c>
      <c r="I1365">
        <v>3</v>
      </c>
    </row>
    <row r="1366" spans="1:9" x14ac:dyDescent="0.25">
      <c r="A1366" t="s">
        <v>1371</v>
      </c>
      <c r="B1366">
        <v>24345.55</v>
      </c>
      <c r="C1366">
        <v>24364.5</v>
      </c>
      <c r="D1366">
        <v>24339.25</v>
      </c>
      <c r="E1366">
        <v>24352.7</v>
      </c>
      <c r="F1366" s="2">
        <f t="shared" si="64"/>
        <v>25.25</v>
      </c>
      <c r="G1366" s="3">
        <f t="shared" si="65"/>
        <v>28.110479636952189</v>
      </c>
      <c r="H1366" t="str">
        <f t="shared" si="63"/>
        <v>2026-08</v>
      </c>
      <c r="I1366">
        <v>3</v>
      </c>
    </row>
    <row r="1367" spans="1:9" x14ac:dyDescent="0.25">
      <c r="A1367" t="s">
        <v>1372</v>
      </c>
      <c r="B1367">
        <v>24364.3</v>
      </c>
      <c r="C1367">
        <v>24365</v>
      </c>
      <c r="D1367">
        <v>24307.200000000001</v>
      </c>
      <c r="E1367">
        <v>24309.1</v>
      </c>
      <c r="F1367" s="2">
        <f t="shared" si="64"/>
        <v>57.799999999999272</v>
      </c>
      <c r="G1367" s="3">
        <f t="shared" si="65"/>
        <v>30.231159662884124</v>
      </c>
      <c r="H1367" t="str">
        <f t="shared" si="63"/>
        <v>2026-08</v>
      </c>
      <c r="I1367">
        <v>3</v>
      </c>
    </row>
    <row r="1368" spans="1:9" x14ac:dyDescent="0.25">
      <c r="A1368" t="s">
        <v>1373</v>
      </c>
      <c r="B1368">
        <v>24309.45</v>
      </c>
      <c r="C1368">
        <v>24345.200000000001</v>
      </c>
      <c r="D1368">
        <v>24304.3</v>
      </c>
      <c r="E1368">
        <v>24332.05</v>
      </c>
      <c r="F1368" s="2">
        <f t="shared" si="64"/>
        <v>40.900000000001455</v>
      </c>
      <c r="G1368" s="3">
        <f t="shared" si="65"/>
        <v>30.993219686963933</v>
      </c>
      <c r="H1368" t="str">
        <f t="shared" si="63"/>
        <v>2026-08</v>
      </c>
      <c r="I1368">
        <v>3</v>
      </c>
    </row>
    <row r="1369" spans="1:9" x14ac:dyDescent="0.25">
      <c r="A1369" t="s">
        <v>1374</v>
      </c>
      <c r="B1369">
        <v>24332.9</v>
      </c>
      <c r="C1369">
        <v>24346.799999999999</v>
      </c>
      <c r="D1369">
        <v>24322.55</v>
      </c>
      <c r="E1369">
        <v>24343.55</v>
      </c>
      <c r="F1369" s="2">
        <f t="shared" si="64"/>
        <v>24.25</v>
      </c>
      <c r="G1369" s="3">
        <f t="shared" si="65"/>
        <v>30.511561137895082</v>
      </c>
      <c r="H1369" t="str">
        <f t="shared" si="63"/>
        <v>2026-08</v>
      </c>
      <c r="I1369">
        <v>3</v>
      </c>
    </row>
    <row r="1370" spans="1:9" x14ac:dyDescent="0.25">
      <c r="A1370" t="s">
        <v>1375</v>
      </c>
      <c r="B1370">
        <v>24344.65</v>
      </c>
      <c r="C1370">
        <v>24359.200000000001</v>
      </c>
      <c r="D1370">
        <v>24340.65</v>
      </c>
      <c r="E1370">
        <v>24345.45</v>
      </c>
      <c r="F1370" s="2">
        <f t="shared" si="64"/>
        <v>18.549999999999272</v>
      </c>
      <c r="G1370" s="3">
        <f t="shared" si="65"/>
        <v>29.657163913759668</v>
      </c>
      <c r="H1370" t="str">
        <f t="shared" si="63"/>
        <v>2026-08</v>
      </c>
      <c r="I1370">
        <v>3</v>
      </c>
    </row>
    <row r="1371" spans="1:9" x14ac:dyDescent="0.25">
      <c r="A1371" t="s">
        <v>1376</v>
      </c>
      <c r="B1371">
        <v>24345.15</v>
      </c>
      <c r="C1371">
        <v>24347</v>
      </c>
      <c r="D1371">
        <v>24329.55</v>
      </c>
      <c r="E1371">
        <v>24331.25</v>
      </c>
      <c r="F1371" s="2">
        <f t="shared" si="64"/>
        <v>17.450000000000728</v>
      </c>
      <c r="G1371" s="3">
        <f t="shared" si="65"/>
        <v>28.785223634205458</v>
      </c>
      <c r="H1371" t="str">
        <f t="shared" si="63"/>
        <v>2026-08</v>
      </c>
      <c r="I1371">
        <v>3</v>
      </c>
    </row>
    <row r="1372" spans="1:9" x14ac:dyDescent="0.25">
      <c r="A1372" t="s">
        <v>1377</v>
      </c>
      <c r="B1372">
        <v>24331.9</v>
      </c>
      <c r="C1372">
        <v>24332.25</v>
      </c>
      <c r="D1372">
        <v>24296.799999999999</v>
      </c>
      <c r="E1372">
        <v>24324.7</v>
      </c>
      <c r="F1372" s="2">
        <f t="shared" si="64"/>
        <v>35.450000000000728</v>
      </c>
      <c r="G1372" s="3">
        <f t="shared" si="65"/>
        <v>29.26127908890512</v>
      </c>
      <c r="H1372" t="str">
        <f t="shared" si="63"/>
        <v>2026-08</v>
      </c>
      <c r="I1372">
        <v>3</v>
      </c>
    </row>
    <row r="1373" spans="1:9" x14ac:dyDescent="0.25">
      <c r="A1373" t="s">
        <v>1378</v>
      </c>
      <c r="B1373">
        <v>24325.25</v>
      </c>
      <c r="C1373">
        <v>24338.7</v>
      </c>
      <c r="D1373">
        <v>24312</v>
      </c>
      <c r="E1373">
        <v>24312.2</v>
      </c>
      <c r="F1373" s="2">
        <f t="shared" si="64"/>
        <v>26.700000000000728</v>
      </c>
      <c r="G1373" s="3">
        <f t="shared" si="65"/>
        <v>29.078330582554806</v>
      </c>
      <c r="H1373" t="str">
        <f t="shared" si="63"/>
        <v>2026-08</v>
      </c>
      <c r="I1373">
        <v>3</v>
      </c>
    </row>
    <row r="1374" spans="1:9" x14ac:dyDescent="0.25">
      <c r="A1374" t="s">
        <v>1379</v>
      </c>
      <c r="B1374">
        <v>24313.05</v>
      </c>
      <c r="C1374">
        <v>24322.35</v>
      </c>
      <c r="D1374">
        <v>24306.400000000001</v>
      </c>
      <c r="E1374">
        <v>24315</v>
      </c>
      <c r="F1374" s="2">
        <f t="shared" si="64"/>
        <v>15.94999999999709</v>
      </c>
      <c r="G1374" s="3">
        <f t="shared" si="65"/>
        <v>28.140592683800683</v>
      </c>
      <c r="H1374" t="str">
        <f t="shared" si="63"/>
        <v>2026-08</v>
      </c>
      <c r="I1374">
        <v>3</v>
      </c>
    </row>
    <row r="1375" spans="1:9" x14ac:dyDescent="0.25">
      <c r="A1375" t="s">
        <v>1380</v>
      </c>
      <c r="B1375">
        <v>24315.5</v>
      </c>
      <c r="C1375">
        <v>24332.25</v>
      </c>
      <c r="D1375">
        <v>24313.45</v>
      </c>
      <c r="E1375">
        <v>24315.8</v>
      </c>
      <c r="F1375" s="2">
        <f t="shared" si="64"/>
        <v>18.799999999999272</v>
      </c>
      <c r="G1375" s="3">
        <f t="shared" si="65"/>
        <v>27.473407492100584</v>
      </c>
      <c r="H1375" t="str">
        <f t="shared" si="63"/>
        <v>2026-08</v>
      </c>
      <c r="I1375">
        <v>3</v>
      </c>
    </row>
    <row r="1376" spans="1:9" x14ac:dyDescent="0.25">
      <c r="A1376" t="s">
        <v>1381</v>
      </c>
      <c r="B1376">
        <v>24315.7</v>
      </c>
      <c r="C1376">
        <v>24330.7</v>
      </c>
      <c r="D1376">
        <v>24309.4</v>
      </c>
      <c r="E1376">
        <v>24327.7</v>
      </c>
      <c r="F1376" s="2">
        <f t="shared" si="64"/>
        <v>21.299999999999272</v>
      </c>
      <c r="G1376" s="3">
        <f t="shared" si="65"/>
        <v>27.032449814093347</v>
      </c>
      <c r="H1376" t="str">
        <f t="shared" si="63"/>
        <v>2026-08</v>
      </c>
      <c r="I1376">
        <v>3</v>
      </c>
    </row>
    <row r="1377" spans="1:9" x14ac:dyDescent="0.25">
      <c r="A1377" t="s">
        <v>1382</v>
      </c>
      <c r="B1377">
        <v>24328</v>
      </c>
      <c r="C1377">
        <v>24336.95</v>
      </c>
      <c r="D1377">
        <v>24321.95</v>
      </c>
      <c r="E1377">
        <v>24326.9</v>
      </c>
      <c r="F1377" s="2">
        <f t="shared" si="64"/>
        <v>15</v>
      </c>
      <c r="G1377" s="3">
        <f t="shared" si="65"/>
        <v>26.172989113086679</v>
      </c>
      <c r="H1377" t="str">
        <f t="shared" si="63"/>
        <v>2026-08</v>
      </c>
      <c r="I1377">
        <v>3</v>
      </c>
    </row>
    <row r="1378" spans="1:9" x14ac:dyDescent="0.25">
      <c r="A1378" t="s">
        <v>1383</v>
      </c>
      <c r="B1378">
        <v>24328.2</v>
      </c>
      <c r="C1378">
        <v>24345.55</v>
      </c>
      <c r="D1378">
        <v>24319.25</v>
      </c>
      <c r="E1378">
        <v>24341.45</v>
      </c>
      <c r="F1378" s="2">
        <f t="shared" si="64"/>
        <v>26.299999999999272</v>
      </c>
      <c r="G1378" s="3">
        <f t="shared" si="65"/>
        <v>26.182061319294721</v>
      </c>
      <c r="H1378" t="str">
        <f t="shared" si="63"/>
        <v>2026-08</v>
      </c>
      <c r="I1378">
        <v>3</v>
      </c>
    </row>
    <row r="1379" spans="1:9" x14ac:dyDescent="0.25">
      <c r="A1379" t="s">
        <v>1384</v>
      </c>
      <c r="B1379">
        <v>24342</v>
      </c>
      <c r="C1379">
        <v>24354.65</v>
      </c>
      <c r="D1379">
        <v>24339.9</v>
      </c>
      <c r="E1379">
        <v>24347.3</v>
      </c>
      <c r="F1379" s="2">
        <f t="shared" si="64"/>
        <v>14.75</v>
      </c>
      <c r="G1379" s="3">
        <f t="shared" si="65"/>
        <v>25.36548551077367</v>
      </c>
      <c r="H1379" t="str">
        <f t="shared" si="63"/>
        <v>2026-08</v>
      </c>
      <c r="I1379">
        <v>3</v>
      </c>
    </row>
    <row r="1380" spans="1:9" x14ac:dyDescent="0.25">
      <c r="A1380" t="s">
        <v>1385</v>
      </c>
      <c r="B1380">
        <v>24346.799999999999</v>
      </c>
      <c r="C1380">
        <v>24347.95</v>
      </c>
      <c r="D1380">
        <v>24333.45</v>
      </c>
      <c r="E1380">
        <v>24335.85</v>
      </c>
      <c r="F1380" s="2">
        <f t="shared" si="64"/>
        <v>14.5</v>
      </c>
      <c r="G1380" s="3">
        <f t="shared" si="65"/>
        <v>24.589379402861265</v>
      </c>
      <c r="H1380" t="str">
        <f t="shared" si="63"/>
        <v>2026-08</v>
      </c>
      <c r="I1380">
        <v>3</v>
      </c>
    </row>
    <row r="1381" spans="1:9" x14ac:dyDescent="0.25">
      <c r="A1381" t="s">
        <v>1386</v>
      </c>
      <c r="B1381">
        <v>24336.65</v>
      </c>
      <c r="C1381">
        <v>24353.3</v>
      </c>
      <c r="D1381">
        <v>24334.799999999999</v>
      </c>
      <c r="E1381">
        <v>24349.55</v>
      </c>
      <c r="F1381" s="2">
        <f t="shared" si="64"/>
        <v>18.5</v>
      </c>
      <c r="G1381" s="3">
        <f t="shared" si="65"/>
        <v>24.154423731228317</v>
      </c>
      <c r="H1381" t="str">
        <f t="shared" si="63"/>
        <v>2026-08</v>
      </c>
      <c r="I1381">
        <v>3</v>
      </c>
    </row>
    <row r="1382" spans="1:9" x14ac:dyDescent="0.25">
      <c r="A1382" t="s">
        <v>1387</v>
      </c>
      <c r="B1382">
        <v>24349.4</v>
      </c>
      <c r="C1382">
        <v>24352.15</v>
      </c>
      <c r="D1382">
        <v>24340.45</v>
      </c>
      <c r="E1382">
        <v>24346.85</v>
      </c>
      <c r="F1382" s="2">
        <f t="shared" si="64"/>
        <v>11.700000000000728</v>
      </c>
      <c r="G1382" s="3">
        <f t="shared" si="65"/>
        <v>23.264822036140632</v>
      </c>
      <c r="H1382" t="str">
        <f t="shared" si="63"/>
        <v>2026-08</v>
      </c>
      <c r="I1382">
        <v>3</v>
      </c>
    </row>
    <row r="1383" spans="1:9" x14ac:dyDescent="0.25">
      <c r="A1383" t="s">
        <v>1388</v>
      </c>
      <c r="B1383">
        <v>24347</v>
      </c>
      <c r="C1383">
        <v>24348.799999999999</v>
      </c>
      <c r="D1383">
        <v>24337.3</v>
      </c>
      <c r="E1383">
        <v>24340.55</v>
      </c>
      <c r="F1383" s="2">
        <f t="shared" si="64"/>
        <v>11.5</v>
      </c>
      <c r="G1383" s="3">
        <f t="shared" si="65"/>
        <v>22.424477604987732</v>
      </c>
      <c r="H1383" t="str">
        <f t="shared" si="63"/>
        <v>2026-08</v>
      </c>
      <c r="I1383">
        <v>3</v>
      </c>
    </row>
    <row r="1384" spans="1:9" x14ac:dyDescent="0.25">
      <c r="A1384" t="s">
        <v>1389</v>
      </c>
      <c r="B1384">
        <v>24340.2</v>
      </c>
      <c r="C1384">
        <v>24358.3</v>
      </c>
      <c r="D1384">
        <v>24327.35</v>
      </c>
      <c r="E1384">
        <v>24357.35</v>
      </c>
      <c r="F1384" s="2">
        <f t="shared" si="64"/>
        <v>30.950000000000728</v>
      </c>
      <c r="G1384" s="3">
        <f t="shared" si="65"/>
        <v>23.033443490345803</v>
      </c>
      <c r="H1384" t="str">
        <f t="shared" si="63"/>
        <v>2026-08</v>
      </c>
      <c r="I1384">
        <v>3</v>
      </c>
    </row>
    <row r="1385" spans="1:9" x14ac:dyDescent="0.25">
      <c r="A1385" t="s">
        <v>1390</v>
      </c>
      <c r="B1385">
        <v>24357.4</v>
      </c>
      <c r="C1385">
        <v>24397.85</v>
      </c>
      <c r="D1385">
        <v>24356.799999999999</v>
      </c>
      <c r="E1385">
        <v>24395</v>
      </c>
      <c r="F1385" s="2">
        <f t="shared" si="64"/>
        <v>41.049999999999272</v>
      </c>
      <c r="G1385" s="3">
        <f t="shared" si="65"/>
        <v>24.320340383892479</v>
      </c>
      <c r="H1385" t="str">
        <f t="shared" si="63"/>
        <v>2026-08</v>
      </c>
      <c r="I1385">
        <v>3</v>
      </c>
    </row>
    <row r="1386" spans="1:9" x14ac:dyDescent="0.25">
      <c r="A1386" t="s">
        <v>1391</v>
      </c>
      <c r="B1386">
        <v>24395.85</v>
      </c>
      <c r="C1386">
        <v>24405.200000000001</v>
      </c>
      <c r="D1386">
        <v>24382.5</v>
      </c>
      <c r="E1386">
        <v>24383.55</v>
      </c>
      <c r="F1386" s="2">
        <f t="shared" si="64"/>
        <v>22.700000000000728</v>
      </c>
      <c r="G1386" s="3">
        <f t="shared" si="65"/>
        <v>24.204601785043071</v>
      </c>
      <c r="H1386" t="str">
        <f t="shared" si="63"/>
        <v>2026-08</v>
      </c>
      <c r="I1386">
        <v>3</v>
      </c>
    </row>
    <row r="1387" spans="1:9" x14ac:dyDescent="0.25">
      <c r="A1387" t="s">
        <v>1392</v>
      </c>
      <c r="B1387">
        <v>24383.200000000001</v>
      </c>
      <c r="C1387">
        <v>24389.200000000001</v>
      </c>
      <c r="D1387">
        <v>24369.65</v>
      </c>
      <c r="E1387">
        <v>24371.599999999999</v>
      </c>
      <c r="F1387" s="2">
        <f t="shared" si="64"/>
        <v>19.549999999999272</v>
      </c>
      <c r="G1387" s="3">
        <f t="shared" si="65"/>
        <v>23.872130228968512</v>
      </c>
      <c r="H1387" t="str">
        <f t="shared" si="63"/>
        <v>2026-08</v>
      </c>
      <c r="I1387">
        <v>3</v>
      </c>
    </row>
    <row r="1388" spans="1:9" x14ac:dyDescent="0.25">
      <c r="A1388" t="s">
        <v>1393</v>
      </c>
      <c r="B1388">
        <v>24372.6</v>
      </c>
      <c r="C1388">
        <v>24375</v>
      </c>
      <c r="D1388">
        <v>24366.400000000001</v>
      </c>
      <c r="E1388">
        <v>24369.45</v>
      </c>
      <c r="F1388" s="2">
        <f t="shared" si="64"/>
        <v>8.5999999999985448</v>
      </c>
      <c r="G1388" s="3">
        <f t="shared" si="65"/>
        <v>22.781263784042086</v>
      </c>
      <c r="H1388" t="str">
        <f t="shared" si="63"/>
        <v>2026-08</v>
      </c>
      <c r="I1388">
        <v>3</v>
      </c>
    </row>
    <row r="1389" spans="1:9" x14ac:dyDescent="0.25">
      <c r="A1389" t="s">
        <v>1394</v>
      </c>
      <c r="B1389">
        <v>24370</v>
      </c>
      <c r="C1389">
        <v>24384.400000000001</v>
      </c>
      <c r="D1389">
        <v>24364.75</v>
      </c>
      <c r="E1389">
        <v>24374.6</v>
      </c>
      <c r="F1389" s="2">
        <f t="shared" si="64"/>
        <v>19.650000000001455</v>
      </c>
      <c r="G1389" s="3">
        <f t="shared" si="65"/>
        <v>22.557602085182044</v>
      </c>
      <c r="H1389" t="str">
        <f t="shared" si="63"/>
        <v>2026-08</v>
      </c>
      <c r="I1389">
        <v>3</v>
      </c>
    </row>
    <row r="1390" spans="1:9" x14ac:dyDescent="0.25">
      <c r="A1390" t="s">
        <v>1395</v>
      </c>
      <c r="B1390">
        <v>24374.25</v>
      </c>
      <c r="C1390">
        <v>24382.25</v>
      </c>
      <c r="D1390">
        <v>24354.45</v>
      </c>
      <c r="E1390">
        <v>24354.45</v>
      </c>
      <c r="F1390" s="2">
        <f t="shared" si="64"/>
        <v>27.799999999999272</v>
      </c>
      <c r="G1390" s="3">
        <f t="shared" si="65"/>
        <v>22.932059079097563</v>
      </c>
      <c r="H1390" t="str">
        <f t="shared" si="63"/>
        <v>2026-08</v>
      </c>
      <c r="I1390">
        <v>3</v>
      </c>
    </row>
    <row r="1391" spans="1:9" x14ac:dyDescent="0.25">
      <c r="A1391" t="s">
        <v>1396</v>
      </c>
      <c r="B1391">
        <v>24354.65</v>
      </c>
      <c r="C1391">
        <v>24357.599999999999</v>
      </c>
      <c r="D1391">
        <v>24282.799999999999</v>
      </c>
      <c r="E1391">
        <v>24306.35</v>
      </c>
      <c r="F1391" s="2">
        <f t="shared" si="64"/>
        <v>74.799999999999272</v>
      </c>
      <c r="G1391" s="3">
        <f t="shared" si="65"/>
        <v>26.636912002019113</v>
      </c>
      <c r="H1391" t="str">
        <f t="shared" si="63"/>
        <v>2026-08</v>
      </c>
      <c r="I1391">
        <v>3</v>
      </c>
    </row>
    <row r="1392" spans="1:9" x14ac:dyDescent="0.25">
      <c r="A1392" t="s">
        <v>1397</v>
      </c>
      <c r="B1392">
        <v>24306.05</v>
      </c>
      <c r="C1392">
        <v>24312.45</v>
      </c>
      <c r="D1392">
        <v>24280.85</v>
      </c>
      <c r="E1392">
        <v>24301</v>
      </c>
      <c r="F1392" s="2">
        <f t="shared" si="64"/>
        <v>31.600000000002183</v>
      </c>
      <c r="G1392" s="3">
        <f t="shared" si="65"/>
        <v>26.991418287589333</v>
      </c>
      <c r="H1392" t="str">
        <f t="shared" si="63"/>
        <v>2026-08</v>
      </c>
      <c r="I1392">
        <v>3</v>
      </c>
    </row>
    <row r="1393" spans="1:9" x14ac:dyDescent="0.25">
      <c r="A1393" t="s">
        <v>1398</v>
      </c>
      <c r="B1393">
        <v>24301.35</v>
      </c>
      <c r="C1393">
        <v>24309.25</v>
      </c>
      <c r="D1393">
        <v>24283.85</v>
      </c>
      <c r="E1393">
        <v>24283.85</v>
      </c>
      <c r="F1393" s="2">
        <f t="shared" si="64"/>
        <v>25.400000000001455</v>
      </c>
      <c r="G1393" s="3">
        <f t="shared" si="65"/>
        <v>26.877745552761628</v>
      </c>
      <c r="H1393" t="str">
        <f t="shared" si="63"/>
        <v>2026-08</v>
      </c>
      <c r="I1393">
        <v>3</v>
      </c>
    </row>
    <row r="1394" spans="1:9" x14ac:dyDescent="0.25">
      <c r="A1394" t="s">
        <v>1399</v>
      </c>
      <c r="B1394">
        <v>24283.95</v>
      </c>
      <c r="C1394">
        <v>24295.65</v>
      </c>
      <c r="D1394">
        <v>24276.85</v>
      </c>
      <c r="E1394">
        <v>24281.5</v>
      </c>
      <c r="F1394" s="2">
        <f t="shared" si="64"/>
        <v>18.80000000000291</v>
      </c>
      <c r="G1394" s="3">
        <f t="shared" si="65"/>
        <v>26.300763727564576</v>
      </c>
      <c r="H1394" t="str">
        <f t="shared" si="63"/>
        <v>2026-08</v>
      </c>
      <c r="I1394">
        <v>3</v>
      </c>
    </row>
    <row r="1395" spans="1:9" x14ac:dyDescent="0.25">
      <c r="A1395" t="s">
        <v>1400</v>
      </c>
      <c r="B1395">
        <v>24281.45</v>
      </c>
      <c r="C1395">
        <v>24283.9</v>
      </c>
      <c r="D1395">
        <v>24249.95</v>
      </c>
      <c r="E1395">
        <v>24260.3</v>
      </c>
      <c r="F1395" s="2">
        <f t="shared" si="64"/>
        <v>33.950000000000728</v>
      </c>
      <c r="G1395" s="3">
        <f t="shared" si="65"/>
        <v>26.847137747024302</v>
      </c>
      <c r="H1395" t="str">
        <f t="shared" si="63"/>
        <v>2026-08</v>
      </c>
      <c r="I1395">
        <v>3</v>
      </c>
    </row>
    <row r="1396" spans="1:9" x14ac:dyDescent="0.25">
      <c r="A1396" t="s">
        <v>1401</v>
      </c>
      <c r="B1396">
        <v>24260.45</v>
      </c>
      <c r="C1396">
        <v>24261.9</v>
      </c>
      <c r="D1396">
        <v>24235.45</v>
      </c>
      <c r="E1396">
        <v>24238.75</v>
      </c>
      <c r="F1396" s="2">
        <f t="shared" si="64"/>
        <v>26.450000000000728</v>
      </c>
      <c r="G1396" s="3">
        <f t="shared" si="65"/>
        <v>26.818770765094047</v>
      </c>
      <c r="H1396" t="str">
        <f t="shared" si="63"/>
        <v>2026-08</v>
      </c>
      <c r="I1396">
        <v>3</v>
      </c>
    </row>
    <row r="1397" spans="1:9" x14ac:dyDescent="0.25">
      <c r="A1397" t="s">
        <v>1402</v>
      </c>
      <c r="B1397">
        <v>24239.200000000001</v>
      </c>
      <c r="C1397">
        <v>24247.45</v>
      </c>
      <c r="D1397">
        <v>24228.15</v>
      </c>
      <c r="E1397">
        <v>24238.2</v>
      </c>
      <c r="F1397" s="2">
        <f t="shared" si="64"/>
        <v>19.299999999999272</v>
      </c>
      <c r="G1397" s="3">
        <f t="shared" si="65"/>
        <v>26.28171571044442</v>
      </c>
      <c r="H1397" t="str">
        <f t="shared" si="63"/>
        <v>2026-08</v>
      </c>
      <c r="I1397">
        <v>3</v>
      </c>
    </row>
    <row r="1398" spans="1:9" x14ac:dyDescent="0.25">
      <c r="A1398" t="s">
        <v>1403</v>
      </c>
      <c r="B1398">
        <v>24237.55</v>
      </c>
      <c r="C1398">
        <v>24246.6</v>
      </c>
      <c r="D1398">
        <v>24231.45</v>
      </c>
      <c r="E1398">
        <v>24236.45</v>
      </c>
      <c r="F1398" s="2">
        <f t="shared" si="64"/>
        <v>15.149999999997817</v>
      </c>
      <c r="G1398" s="3">
        <f t="shared" si="65"/>
        <v>25.486593159698234</v>
      </c>
      <c r="H1398" t="str">
        <f t="shared" si="63"/>
        <v>2026-08</v>
      </c>
      <c r="I1398">
        <v>3</v>
      </c>
    </row>
    <row r="1399" spans="1:9" x14ac:dyDescent="0.25">
      <c r="A1399" t="s">
        <v>1404</v>
      </c>
      <c r="B1399">
        <v>24236.2</v>
      </c>
      <c r="C1399">
        <v>24243.599999999999</v>
      </c>
      <c r="D1399">
        <v>24226.95</v>
      </c>
      <c r="E1399">
        <v>24240</v>
      </c>
      <c r="F1399" s="2">
        <f t="shared" si="64"/>
        <v>16.649999999997817</v>
      </c>
      <c r="G1399" s="3">
        <f t="shared" si="65"/>
        <v>24.855407934005346</v>
      </c>
      <c r="H1399" t="str">
        <f t="shared" si="63"/>
        <v>2026-08</v>
      </c>
      <c r="I1399">
        <v>3</v>
      </c>
    </row>
    <row r="1400" spans="1:9" x14ac:dyDescent="0.25">
      <c r="A1400" t="s">
        <v>1405</v>
      </c>
      <c r="B1400">
        <v>24239.85</v>
      </c>
      <c r="C1400">
        <v>24248.35</v>
      </c>
      <c r="D1400">
        <v>24234.25</v>
      </c>
      <c r="E1400">
        <v>24244.7</v>
      </c>
      <c r="F1400" s="2">
        <f t="shared" si="64"/>
        <v>14.099999999998545</v>
      </c>
      <c r="G1400" s="3">
        <f t="shared" si="65"/>
        <v>24.087164510147716</v>
      </c>
      <c r="H1400" t="str">
        <f t="shared" si="63"/>
        <v>2026-08</v>
      </c>
      <c r="I1400">
        <v>3</v>
      </c>
    </row>
    <row r="1401" spans="1:9" x14ac:dyDescent="0.25">
      <c r="A1401" t="s">
        <v>1406</v>
      </c>
      <c r="B1401">
        <v>24244.75</v>
      </c>
      <c r="C1401">
        <v>24275.25</v>
      </c>
      <c r="D1401">
        <v>24242.1</v>
      </c>
      <c r="E1401">
        <v>24271.7</v>
      </c>
      <c r="F1401" s="2">
        <f t="shared" si="64"/>
        <v>33.150000000001455</v>
      </c>
      <c r="G1401" s="3">
        <f t="shared" si="65"/>
        <v>24.734509902280127</v>
      </c>
      <c r="H1401" t="str">
        <f t="shared" si="63"/>
        <v>2026-08</v>
      </c>
      <c r="I1401">
        <v>3</v>
      </c>
    </row>
    <row r="1402" spans="1:9" x14ac:dyDescent="0.25">
      <c r="A1402" t="s">
        <v>1407</v>
      </c>
      <c r="B1402">
        <v>24271.65</v>
      </c>
      <c r="C1402">
        <v>24275.65</v>
      </c>
      <c r="D1402">
        <v>24256.55</v>
      </c>
      <c r="E1402">
        <v>24270.75</v>
      </c>
      <c r="F1402" s="2">
        <f t="shared" si="64"/>
        <v>19.100000000002183</v>
      </c>
      <c r="G1402" s="3">
        <f t="shared" si="65"/>
        <v>24.332044909260276</v>
      </c>
      <c r="H1402" t="str">
        <f t="shared" si="63"/>
        <v>2026-08</v>
      </c>
      <c r="I1402">
        <v>3</v>
      </c>
    </row>
    <row r="1403" spans="1:9" x14ac:dyDescent="0.25">
      <c r="A1403" t="s">
        <v>1408</v>
      </c>
      <c r="B1403">
        <v>24270.6</v>
      </c>
      <c r="C1403">
        <v>24292</v>
      </c>
      <c r="D1403">
        <v>24269.8</v>
      </c>
      <c r="E1403">
        <v>24290.799999999999</v>
      </c>
      <c r="F1403" s="2">
        <f t="shared" si="64"/>
        <v>22.200000000000728</v>
      </c>
      <c r="G1403" s="3">
        <f t="shared" si="65"/>
        <v>24.179755987170306</v>
      </c>
      <c r="H1403" t="str">
        <f t="shared" si="63"/>
        <v>2026-08</v>
      </c>
      <c r="I1403">
        <v>3</v>
      </c>
    </row>
    <row r="1404" spans="1:9" x14ac:dyDescent="0.25">
      <c r="A1404" t="s">
        <v>1409</v>
      </c>
      <c r="B1404">
        <v>24289.95</v>
      </c>
      <c r="C1404">
        <v>24306.75</v>
      </c>
      <c r="D1404">
        <v>24286.1</v>
      </c>
      <c r="E1404">
        <v>24303.5</v>
      </c>
      <c r="F1404" s="2">
        <f t="shared" si="64"/>
        <v>20.650000000001455</v>
      </c>
      <c r="G1404" s="3">
        <f t="shared" si="65"/>
        <v>23.927630559515389</v>
      </c>
      <c r="H1404" t="str">
        <f t="shared" si="63"/>
        <v>2026-08</v>
      </c>
      <c r="I1404">
        <v>3</v>
      </c>
    </row>
    <row r="1405" spans="1:9" x14ac:dyDescent="0.25">
      <c r="A1405" t="s">
        <v>1410</v>
      </c>
      <c r="B1405">
        <v>24303.200000000001</v>
      </c>
      <c r="C1405">
        <v>24336.7</v>
      </c>
      <c r="D1405">
        <v>24302.400000000001</v>
      </c>
      <c r="E1405">
        <v>24333.95</v>
      </c>
      <c r="F1405" s="2">
        <f t="shared" si="64"/>
        <v>34.299999999999272</v>
      </c>
      <c r="G1405" s="3">
        <f t="shared" si="65"/>
        <v>24.668514090978526</v>
      </c>
      <c r="H1405" t="str">
        <f t="shared" si="63"/>
        <v>2026-08</v>
      </c>
      <c r="I1405">
        <v>3</v>
      </c>
    </row>
    <row r="1406" spans="1:9" x14ac:dyDescent="0.25">
      <c r="A1406" t="s">
        <v>1411</v>
      </c>
      <c r="B1406">
        <v>24334</v>
      </c>
      <c r="C1406">
        <v>24354.3</v>
      </c>
      <c r="D1406">
        <v>24332.5</v>
      </c>
      <c r="E1406">
        <v>24346.35</v>
      </c>
      <c r="F1406" s="2">
        <f t="shared" si="64"/>
        <v>21.799999999999272</v>
      </c>
      <c r="G1406" s="3">
        <f t="shared" si="65"/>
        <v>24.463620227337149</v>
      </c>
      <c r="H1406" t="str">
        <f t="shared" si="63"/>
        <v>2026-08</v>
      </c>
      <c r="I1406">
        <v>3</v>
      </c>
    </row>
    <row r="1407" spans="1:9" x14ac:dyDescent="0.25">
      <c r="A1407" t="s">
        <v>1412</v>
      </c>
      <c r="B1407">
        <v>24346.6</v>
      </c>
      <c r="C1407">
        <v>24356.15</v>
      </c>
      <c r="D1407">
        <v>24342.1</v>
      </c>
      <c r="E1407">
        <v>24351.85</v>
      </c>
      <c r="F1407" s="2">
        <f t="shared" si="64"/>
        <v>14.05000000000291</v>
      </c>
      <c r="G1407" s="3">
        <f t="shared" si="65"/>
        <v>23.719790211098989</v>
      </c>
      <c r="H1407" t="str">
        <f t="shared" si="63"/>
        <v>2026-08</v>
      </c>
      <c r="I1407">
        <v>3</v>
      </c>
    </row>
    <row r="1408" spans="1:9" x14ac:dyDescent="0.25">
      <c r="A1408" t="s">
        <v>1413</v>
      </c>
      <c r="B1408">
        <v>24352.95</v>
      </c>
      <c r="C1408">
        <v>24359.3</v>
      </c>
      <c r="D1408">
        <v>24339.8</v>
      </c>
      <c r="E1408">
        <v>24353.25</v>
      </c>
      <c r="F1408" s="2">
        <f t="shared" si="64"/>
        <v>19.5</v>
      </c>
      <c r="G1408" s="3">
        <f t="shared" si="65"/>
        <v>23.418376624591918</v>
      </c>
      <c r="H1408" t="str">
        <f t="shared" si="63"/>
        <v>2026-08</v>
      </c>
      <c r="I1408">
        <v>3</v>
      </c>
    </row>
    <row r="1409" spans="1:9" x14ac:dyDescent="0.25">
      <c r="A1409" t="s">
        <v>1414</v>
      </c>
      <c r="B1409">
        <v>24353.65</v>
      </c>
      <c r="C1409">
        <v>24359.599999999999</v>
      </c>
      <c r="D1409">
        <v>24332.45</v>
      </c>
      <c r="E1409">
        <v>24337.75</v>
      </c>
      <c r="F1409" s="2">
        <f t="shared" si="64"/>
        <v>27.149999999997817</v>
      </c>
      <c r="G1409" s="3">
        <f t="shared" si="65"/>
        <v>23.684921151406627</v>
      </c>
      <c r="H1409" t="str">
        <f t="shared" si="63"/>
        <v>2026-08</v>
      </c>
      <c r="I1409">
        <v>3</v>
      </c>
    </row>
    <row r="1410" spans="1:9" x14ac:dyDescent="0.25">
      <c r="A1410" t="s">
        <v>1415</v>
      </c>
      <c r="B1410">
        <v>24338.3</v>
      </c>
      <c r="C1410">
        <v>24346.75</v>
      </c>
      <c r="D1410">
        <v>24329.5</v>
      </c>
      <c r="E1410">
        <v>24331</v>
      </c>
      <c r="F1410" s="2">
        <f t="shared" si="64"/>
        <v>17.25</v>
      </c>
      <c r="G1410" s="3">
        <f t="shared" si="65"/>
        <v>23.225283926306155</v>
      </c>
      <c r="H1410" t="str">
        <f t="shared" ref="H1410:H1473" si="66">LEFT(A1410,7)</f>
        <v>2026-08</v>
      </c>
      <c r="I1410">
        <v>3</v>
      </c>
    </row>
    <row r="1411" spans="1:9" x14ac:dyDescent="0.25">
      <c r="A1411" t="s">
        <v>1416</v>
      </c>
      <c r="B1411">
        <v>24331.15</v>
      </c>
      <c r="C1411">
        <v>24343.05</v>
      </c>
      <c r="D1411">
        <v>24322.55</v>
      </c>
      <c r="E1411">
        <v>24326.15</v>
      </c>
      <c r="F1411" s="2">
        <f t="shared" ref="F1411:F1474" si="67">MAX(C1411-D1411,ABS(C1411-E1410),ABS(D1411-E1410))</f>
        <v>20.5</v>
      </c>
      <c r="G1411" s="3">
        <f t="shared" si="65"/>
        <v>23.030620788712859</v>
      </c>
      <c r="H1411" t="str">
        <f t="shared" si="66"/>
        <v>2026-08</v>
      </c>
      <c r="I1411">
        <v>3</v>
      </c>
    </row>
    <row r="1412" spans="1:9" x14ac:dyDescent="0.25">
      <c r="A1412" t="s">
        <v>1417</v>
      </c>
      <c r="B1412">
        <v>24326.75</v>
      </c>
      <c r="C1412">
        <v>24337.9</v>
      </c>
      <c r="D1412">
        <v>24317.9</v>
      </c>
      <c r="E1412">
        <v>24334.35</v>
      </c>
      <c r="F1412" s="2">
        <f t="shared" si="67"/>
        <v>20</v>
      </c>
      <c r="G1412" s="3">
        <f t="shared" si="65"/>
        <v>22.81414787523337</v>
      </c>
      <c r="H1412" t="str">
        <f t="shared" si="66"/>
        <v>2026-08</v>
      </c>
      <c r="I1412">
        <v>3</v>
      </c>
    </row>
    <row r="1413" spans="1:9" x14ac:dyDescent="0.25">
      <c r="A1413" t="s">
        <v>1418</v>
      </c>
      <c r="B1413">
        <v>24335.4</v>
      </c>
      <c r="C1413">
        <v>24346.05</v>
      </c>
      <c r="D1413">
        <v>24330.95</v>
      </c>
      <c r="E1413">
        <v>24338.2</v>
      </c>
      <c r="F1413" s="2">
        <f t="shared" si="67"/>
        <v>15.099999999998545</v>
      </c>
      <c r="G1413" s="3">
        <f t="shared" si="65"/>
        <v>22.263137312716598</v>
      </c>
      <c r="H1413" t="str">
        <f t="shared" si="66"/>
        <v>2026-08</v>
      </c>
      <c r="I1413">
        <v>3</v>
      </c>
    </row>
    <row r="1414" spans="1:9" x14ac:dyDescent="0.25">
      <c r="A1414" t="s">
        <v>1419</v>
      </c>
      <c r="B1414">
        <v>24337.7</v>
      </c>
      <c r="C1414">
        <v>24360.1</v>
      </c>
      <c r="D1414">
        <v>24330.7</v>
      </c>
      <c r="E1414">
        <v>24341.9</v>
      </c>
      <c r="F1414" s="2">
        <f t="shared" si="67"/>
        <v>29.399999999997817</v>
      </c>
      <c r="G1414" s="3">
        <f t="shared" si="65"/>
        <v>22.772913218950972</v>
      </c>
      <c r="H1414" t="str">
        <f t="shared" si="66"/>
        <v>2026-08</v>
      </c>
      <c r="I1414">
        <v>3</v>
      </c>
    </row>
    <row r="1415" spans="1:9" x14ac:dyDescent="0.25">
      <c r="A1415" t="s">
        <v>1420</v>
      </c>
      <c r="B1415">
        <v>24225.15</v>
      </c>
      <c r="C1415">
        <v>24269.65</v>
      </c>
      <c r="D1415">
        <v>24211.1</v>
      </c>
      <c r="E1415">
        <v>24245.1</v>
      </c>
      <c r="F1415" s="2">
        <f t="shared" si="67"/>
        <v>130.80000000000291</v>
      </c>
      <c r="G1415" s="3">
        <f t="shared" si="65"/>
        <v>30.489133703311825</v>
      </c>
      <c r="H1415" t="str">
        <f t="shared" si="66"/>
        <v>2026-08</v>
      </c>
      <c r="I1415">
        <v>3</v>
      </c>
    </row>
    <row r="1416" spans="1:9" x14ac:dyDescent="0.25">
      <c r="A1416" t="s">
        <v>1421</v>
      </c>
      <c r="B1416">
        <v>24246.400000000001</v>
      </c>
      <c r="C1416">
        <v>24249.200000000001</v>
      </c>
      <c r="D1416">
        <v>24220.65</v>
      </c>
      <c r="E1416">
        <v>24224.55</v>
      </c>
      <c r="F1416" s="2">
        <f t="shared" si="67"/>
        <v>28.549999999999272</v>
      </c>
      <c r="G1416" s="3">
        <f t="shared" si="65"/>
        <v>30.350624153075216</v>
      </c>
      <c r="H1416" t="str">
        <f t="shared" si="66"/>
        <v>2026-08</v>
      </c>
      <c r="I1416">
        <v>3</v>
      </c>
    </row>
    <row r="1417" spans="1:9" x14ac:dyDescent="0.25">
      <c r="A1417" t="s">
        <v>1422</v>
      </c>
      <c r="B1417">
        <v>24226.15</v>
      </c>
      <c r="C1417">
        <v>24241.35</v>
      </c>
      <c r="D1417">
        <v>24214.85</v>
      </c>
      <c r="E1417">
        <v>24234.5</v>
      </c>
      <c r="F1417" s="2">
        <f t="shared" si="67"/>
        <v>26.5</v>
      </c>
      <c r="G1417" s="3">
        <f t="shared" si="65"/>
        <v>30.075579570712701</v>
      </c>
      <c r="H1417" t="str">
        <f t="shared" si="66"/>
        <v>2026-08</v>
      </c>
      <c r="I1417">
        <v>3</v>
      </c>
    </row>
    <row r="1418" spans="1:9" x14ac:dyDescent="0.25">
      <c r="A1418" t="s">
        <v>1423</v>
      </c>
      <c r="B1418">
        <v>24234.1</v>
      </c>
      <c r="C1418">
        <v>24234.6</v>
      </c>
      <c r="D1418">
        <v>24213</v>
      </c>
      <c r="E1418">
        <v>24220.2</v>
      </c>
      <c r="F1418" s="2">
        <f t="shared" si="67"/>
        <v>21.599999999998545</v>
      </c>
      <c r="G1418" s="3">
        <f t="shared" si="65"/>
        <v>29.470181029947405</v>
      </c>
      <c r="H1418" t="str">
        <f t="shared" si="66"/>
        <v>2026-08</v>
      </c>
      <c r="I1418">
        <v>3</v>
      </c>
    </row>
    <row r="1419" spans="1:9" x14ac:dyDescent="0.25">
      <c r="A1419" t="s">
        <v>1424</v>
      </c>
      <c r="B1419">
        <v>24221.1</v>
      </c>
      <c r="C1419">
        <v>24231.05</v>
      </c>
      <c r="D1419">
        <v>24208</v>
      </c>
      <c r="E1419">
        <v>24225.85</v>
      </c>
      <c r="F1419" s="2">
        <f t="shared" si="67"/>
        <v>23.049999999999272</v>
      </c>
      <c r="G1419" s="3">
        <f t="shared" si="65"/>
        <v>29.011596670665394</v>
      </c>
      <c r="H1419" t="str">
        <f t="shared" si="66"/>
        <v>2026-08</v>
      </c>
      <c r="I1419">
        <v>3</v>
      </c>
    </row>
    <row r="1420" spans="1:9" x14ac:dyDescent="0.25">
      <c r="A1420" t="s">
        <v>1425</v>
      </c>
      <c r="B1420">
        <v>24227</v>
      </c>
      <c r="C1420">
        <v>24233.4</v>
      </c>
      <c r="D1420">
        <v>24210.05</v>
      </c>
      <c r="E1420">
        <v>24214.799999999999</v>
      </c>
      <c r="F1420" s="2">
        <f t="shared" si="67"/>
        <v>23.350000000002183</v>
      </c>
      <c r="G1420" s="3">
        <f t="shared" si="65"/>
        <v>28.607196908475167</v>
      </c>
      <c r="H1420" t="str">
        <f t="shared" si="66"/>
        <v>2026-08</v>
      </c>
      <c r="I1420">
        <v>3</v>
      </c>
    </row>
    <row r="1421" spans="1:9" x14ac:dyDescent="0.25">
      <c r="A1421" t="s">
        <v>1426</v>
      </c>
      <c r="B1421">
        <v>24216.15</v>
      </c>
      <c r="C1421">
        <v>24216.400000000001</v>
      </c>
      <c r="D1421">
        <v>24187.3</v>
      </c>
      <c r="E1421">
        <v>24200.25</v>
      </c>
      <c r="F1421" s="2">
        <f t="shared" si="67"/>
        <v>29.100000000002183</v>
      </c>
      <c r="G1421" s="3">
        <f t="shared" si="65"/>
        <v>28.642397129298526</v>
      </c>
      <c r="H1421" t="str">
        <f t="shared" si="66"/>
        <v>2026-08</v>
      </c>
      <c r="I1421">
        <v>3</v>
      </c>
    </row>
    <row r="1422" spans="1:9" x14ac:dyDescent="0.25">
      <c r="A1422" t="s">
        <v>1427</v>
      </c>
      <c r="B1422">
        <v>24201.95</v>
      </c>
      <c r="C1422">
        <v>24211.5</v>
      </c>
      <c r="D1422">
        <v>24194.85</v>
      </c>
      <c r="E1422">
        <v>24202.35</v>
      </c>
      <c r="F1422" s="2">
        <f t="shared" si="67"/>
        <v>16.650000000001455</v>
      </c>
      <c r="G1422" s="3">
        <f t="shared" si="65"/>
        <v>27.785797334348736</v>
      </c>
      <c r="H1422" t="str">
        <f t="shared" si="66"/>
        <v>2026-08</v>
      </c>
      <c r="I1422">
        <v>3</v>
      </c>
    </row>
    <row r="1423" spans="1:9" x14ac:dyDescent="0.25">
      <c r="A1423" t="s">
        <v>1428</v>
      </c>
      <c r="B1423">
        <v>24203.75</v>
      </c>
      <c r="C1423">
        <v>24209.15</v>
      </c>
      <c r="D1423">
        <v>24182.3</v>
      </c>
      <c r="E1423">
        <v>24182.65</v>
      </c>
      <c r="F1423" s="2">
        <f t="shared" si="67"/>
        <v>26.850000000002183</v>
      </c>
      <c r="G1423" s="3">
        <f t="shared" si="65"/>
        <v>27.718954667609697</v>
      </c>
      <c r="H1423" t="str">
        <f t="shared" si="66"/>
        <v>2026-08</v>
      </c>
      <c r="I1423">
        <v>3</v>
      </c>
    </row>
    <row r="1424" spans="1:9" x14ac:dyDescent="0.25">
      <c r="A1424" t="s">
        <v>1429</v>
      </c>
      <c r="B1424">
        <v>24181.8</v>
      </c>
      <c r="C1424">
        <v>24201.9</v>
      </c>
      <c r="D1424">
        <v>24174.45</v>
      </c>
      <c r="E1424">
        <v>24198.400000000001</v>
      </c>
      <c r="F1424" s="2">
        <f t="shared" si="67"/>
        <v>27.450000000000728</v>
      </c>
      <c r="G1424" s="3">
        <f t="shared" ref="G1424:G1487" si="68">(G1423*13+F1424)/14</f>
        <v>27.699743619923343</v>
      </c>
      <c r="H1424" t="str">
        <f t="shared" si="66"/>
        <v>2026-08</v>
      </c>
      <c r="I1424">
        <v>3</v>
      </c>
    </row>
    <row r="1425" spans="1:9" x14ac:dyDescent="0.25">
      <c r="A1425" t="s">
        <v>1430</v>
      </c>
      <c r="B1425">
        <v>24198.5</v>
      </c>
      <c r="C1425">
        <v>24214.400000000001</v>
      </c>
      <c r="D1425">
        <v>24195.8</v>
      </c>
      <c r="E1425">
        <v>24206.799999999999</v>
      </c>
      <c r="F1425" s="2">
        <f t="shared" si="67"/>
        <v>18.600000000002183</v>
      </c>
      <c r="G1425" s="3">
        <f t="shared" si="68"/>
        <v>27.049761932786115</v>
      </c>
      <c r="H1425" t="str">
        <f t="shared" si="66"/>
        <v>2026-08</v>
      </c>
      <c r="I1425">
        <v>3</v>
      </c>
    </row>
    <row r="1426" spans="1:9" x14ac:dyDescent="0.25">
      <c r="A1426" t="s">
        <v>1431</v>
      </c>
      <c r="B1426">
        <v>24208.3</v>
      </c>
      <c r="C1426">
        <v>24220.799999999999</v>
      </c>
      <c r="D1426">
        <v>24201.85</v>
      </c>
      <c r="E1426">
        <v>24212.95</v>
      </c>
      <c r="F1426" s="2">
        <f t="shared" si="67"/>
        <v>18.950000000000728</v>
      </c>
      <c r="G1426" s="3">
        <f t="shared" si="68"/>
        <v>26.471207509015731</v>
      </c>
      <c r="H1426" t="str">
        <f t="shared" si="66"/>
        <v>2026-08</v>
      </c>
      <c r="I1426">
        <v>3</v>
      </c>
    </row>
    <row r="1427" spans="1:9" x14ac:dyDescent="0.25">
      <c r="A1427" t="s">
        <v>1432</v>
      </c>
      <c r="B1427">
        <v>24213.200000000001</v>
      </c>
      <c r="C1427">
        <v>24217.4</v>
      </c>
      <c r="D1427">
        <v>24203.65</v>
      </c>
      <c r="E1427">
        <v>24212.799999999999</v>
      </c>
      <c r="F1427" s="2">
        <f t="shared" si="67"/>
        <v>13.75</v>
      </c>
      <c r="G1427" s="3">
        <f t="shared" si="68"/>
        <v>25.562549829800322</v>
      </c>
      <c r="H1427" t="str">
        <f t="shared" si="66"/>
        <v>2026-08</v>
      </c>
      <c r="I1427">
        <v>3</v>
      </c>
    </row>
    <row r="1428" spans="1:9" x14ac:dyDescent="0.25">
      <c r="A1428" t="s">
        <v>1433</v>
      </c>
      <c r="B1428">
        <v>24213.25</v>
      </c>
      <c r="C1428">
        <v>24220.35</v>
      </c>
      <c r="D1428">
        <v>24196</v>
      </c>
      <c r="E1428">
        <v>24198.05</v>
      </c>
      <c r="F1428" s="2">
        <f t="shared" si="67"/>
        <v>24.349999999998545</v>
      </c>
      <c r="G1428" s="3">
        <f t="shared" si="68"/>
        <v>25.475939127671626</v>
      </c>
      <c r="H1428" t="str">
        <f t="shared" si="66"/>
        <v>2026-08</v>
      </c>
      <c r="I1428">
        <v>3</v>
      </c>
    </row>
    <row r="1429" spans="1:9" x14ac:dyDescent="0.25">
      <c r="A1429" t="s">
        <v>1434</v>
      </c>
      <c r="B1429">
        <v>24198</v>
      </c>
      <c r="C1429">
        <v>24210.7</v>
      </c>
      <c r="D1429">
        <v>24194.45</v>
      </c>
      <c r="E1429">
        <v>24199.05</v>
      </c>
      <c r="F1429" s="2">
        <f t="shared" si="67"/>
        <v>16.25</v>
      </c>
      <c r="G1429" s="3">
        <f t="shared" si="68"/>
        <v>24.81694347569508</v>
      </c>
      <c r="H1429" t="str">
        <f t="shared" si="66"/>
        <v>2026-08</v>
      </c>
      <c r="I1429">
        <v>3</v>
      </c>
    </row>
    <row r="1430" spans="1:9" x14ac:dyDescent="0.25">
      <c r="A1430" t="s">
        <v>1435</v>
      </c>
      <c r="B1430">
        <v>24200</v>
      </c>
      <c r="C1430">
        <v>24204.9</v>
      </c>
      <c r="D1430">
        <v>24185.599999999999</v>
      </c>
      <c r="E1430">
        <v>24202.6</v>
      </c>
      <c r="F1430" s="2">
        <f t="shared" si="67"/>
        <v>19.30000000000291</v>
      </c>
      <c r="G1430" s="3">
        <f t="shared" si="68"/>
        <v>24.422876084574209</v>
      </c>
      <c r="H1430" t="str">
        <f t="shared" si="66"/>
        <v>2026-08</v>
      </c>
      <c r="I1430">
        <v>3</v>
      </c>
    </row>
    <row r="1431" spans="1:9" x14ac:dyDescent="0.25">
      <c r="A1431" t="s">
        <v>1436</v>
      </c>
      <c r="B1431">
        <v>24204.5</v>
      </c>
      <c r="C1431">
        <v>24210.7</v>
      </c>
      <c r="D1431">
        <v>24198.65</v>
      </c>
      <c r="E1431">
        <v>24207.85</v>
      </c>
      <c r="F1431" s="2">
        <f t="shared" si="67"/>
        <v>12.049999999999272</v>
      </c>
      <c r="G1431" s="3">
        <f t="shared" si="68"/>
        <v>23.539099221390284</v>
      </c>
      <c r="H1431" t="str">
        <f t="shared" si="66"/>
        <v>2026-08</v>
      </c>
      <c r="I1431">
        <v>3</v>
      </c>
    </row>
    <row r="1432" spans="1:9" x14ac:dyDescent="0.25">
      <c r="A1432" t="s">
        <v>1437</v>
      </c>
      <c r="B1432">
        <v>24208.35</v>
      </c>
      <c r="C1432">
        <v>24209</v>
      </c>
      <c r="D1432">
        <v>24190.1</v>
      </c>
      <c r="E1432">
        <v>24202</v>
      </c>
      <c r="F1432" s="2">
        <f t="shared" si="67"/>
        <v>18.900000000001455</v>
      </c>
      <c r="G1432" s="3">
        <f t="shared" si="68"/>
        <v>23.207734991291083</v>
      </c>
      <c r="H1432" t="str">
        <f t="shared" si="66"/>
        <v>2026-08</v>
      </c>
      <c r="I1432">
        <v>3</v>
      </c>
    </row>
    <row r="1433" spans="1:9" x14ac:dyDescent="0.25">
      <c r="A1433" t="s">
        <v>1438</v>
      </c>
      <c r="B1433">
        <v>24202.65</v>
      </c>
      <c r="C1433">
        <v>24207.599999999999</v>
      </c>
      <c r="D1433">
        <v>24187.9</v>
      </c>
      <c r="E1433">
        <v>24190.799999999999</v>
      </c>
      <c r="F1433" s="2">
        <f t="shared" si="67"/>
        <v>19.69999999999709</v>
      </c>
      <c r="G1433" s="3">
        <f t="shared" si="68"/>
        <v>22.957182491912938</v>
      </c>
      <c r="H1433" t="str">
        <f t="shared" si="66"/>
        <v>2026-08</v>
      </c>
      <c r="I1433">
        <v>3</v>
      </c>
    </row>
    <row r="1434" spans="1:9" x14ac:dyDescent="0.25">
      <c r="A1434" t="s">
        <v>1439</v>
      </c>
      <c r="B1434">
        <v>24192.95</v>
      </c>
      <c r="C1434">
        <v>24209.5</v>
      </c>
      <c r="D1434">
        <v>24189.200000000001</v>
      </c>
      <c r="E1434">
        <v>24195.55</v>
      </c>
      <c r="F1434" s="2">
        <f t="shared" si="67"/>
        <v>20.299999999999272</v>
      </c>
      <c r="G1434" s="3">
        <f t="shared" si="68"/>
        <v>22.767383742490534</v>
      </c>
      <c r="H1434" t="str">
        <f t="shared" si="66"/>
        <v>2026-08</v>
      </c>
      <c r="I1434">
        <v>3</v>
      </c>
    </row>
    <row r="1435" spans="1:9" x14ac:dyDescent="0.25">
      <c r="A1435" t="s">
        <v>1440</v>
      </c>
      <c r="B1435">
        <v>24196.95</v>
      </c>
      <c r="C1435">
        <v>24203.5</v>
      </c>
      <c r="D1435">
        <v>24181.75</v>
      </c>
      <c r="E1435">
        <v>24199.1</v>
      </c>
      <c r="F1435" s="2">
        <f t="shared" si="67"/>
        <v>21.75</v>
      </c>
      <c r="G1435" s="3">
        <f t="shared" si="68"/>
        <v>22.694713475169781</v>
      </c>
      <c r="H1435" t="str">
        <f t="shared" si="66"/>
        <v>2026-08</v>
      </c>
      <c r="I1435">
        <v>3</v>
      </c>
    </row>
    <row r="1436" spans="1:9" x14ac:dyDescent="0.25">
      <c r="A1436" t="s">
        <v>1441</v>
      </c>
      <c r="B1436">
        <v>24201.1</v>
      </c>
      <c r="C1436">
        <v>24207.5</v>
      </c>
      <c r="D1436">
        <v>24191.85</v>
      </c>
      <c r="E1436">
        <v>24205.200000000001</v>
      </c>
      <c r="F1436" s="2">
        <f t="shared" si="67"/>
        <v>15.650000000001455</v>
      </c>
      <c r="G1436" s="3">
        <f t="shared" si="68"/>
        <v>22.191519655514899</v>
      </c>
      <c r="H1436" t="str">
        <f t="shared" si="66"/>
        <v>2026-08</v>
      </c>
      <c r="I1436">
        <v>3</v>
      </c>
    </row>
    <row r="1437" spans="1:9" x14ac:dyDescent="0.25">
      <c r="A1437" t="s">
        <v>1442</v>
      </c>
      <c r="B1437">
        <v>24206</v>
      </c>
      <c r="C1437">
        <v>24221.1</v>
      </c>
      <c r="D1437">
        <v>24198.9</v>
      </c>
      <c r="E1437">
        <v>24214.3</v>
      </c>
      <c r="F1437" s="2">
        <f t="shared" si="67"/>
        <v>22.19999999999709</v>
      </c>
      <c r="G1437" s="3">
        <f t="shared" si="68"/>
        <v>22.192125394406482</v>
      </c>
      <c r="H1437" t="str">
        <f t="shared" si="66"/>
        <v>2026-08</v>
      </c>
      <c r="I1437">
        <v>3</v>
      </c>
    </row>
    <row r="1438" spans="1:9" x14ac:dyDescent="0.25">
      <c r="A1438" t="s">
        <v>1443</v>
      </c>
      <c r="B1438">
        <v>24216.6</v>
      </c>
      <c r="C1438">
        <v>24230.75</v>
      </c>
      <c r="D1438">
        <v>24165.45</v>
      </c>
      <c r="E1438">
        <v>24165.8</v>
      </c>
      <c r="F1438" s="2">
        <f t="shared" si="67"/>
        <v>65.299999999999272</v>
      </c>
      <c r="G1438" s="3">
        <f t="shared" si="68"/>
        <v>25.271259294805965</v>
      </c>
      <c r="H1438" t="str">
        <f t="shared" si="66"/>
        <v>2026-08</v>
      </c>
      <c r="I1438">
        <v>3</v>
      </c>
    </row>
    <row r="1439" spans="1:9" x14ac:dyDescent="0.25">
      <c r="A1439" t="s">
        <v>1444</v>
      </c>
      <c r="B1439">
        <v>24163.1</v>
      </c>
      <c r="C1439">
        <v>24172.85</v>
      </c>
      <c r="D1439">
        <v>24093.05</v>
      </c>
      <c r="E1439">
        <v>24096.75</v>
      </c>
      <c r="F1439" s="2">
        <f t="shared" si="67"/>
        <v>79.799999999999272</v>
      </c>
      <c r="G1439" s="3">
        <f t="shared" si="68"/>
        <v>29.166169345176915</v>
      </c>
      <c r="H1439" t="str">
        <f t="shared" si="66"/>
        <v>2026-08</v>
      </c>
      <c r="I1439">
        <v>3</v>
      </c>
    </row>
    <row r="1440" spans="1:9" x14ac:dyDescent="0.25">
      <c r="A1440" t="s">
        <v>1445</v>
      </c>
      <c r="B1440">
        <v>24098.25</v>
      </c>
      <c r="C1440">
        <v>24099</v>
      </c>
      <c r="D1440">
        <v>24065.1</v>
      </c>
      <c r="E1440">
        <v>24084.55</v>
      </c>
      <c r="F1440" s="2">
        <f t="shared" si="67"/>
        <v>33.900000000001455</v>
      </c>
      <c r="G1440" s="3">
        <f t="shared" si="68"/>
        <v>29.50430010623581</v>
      </c>
      <c r="H1440" t="str">
        <f t="shared" si="66"/>
        <v>2026-08</v>
      </c>
      <c r="I1440">
        <v>3</v>
      </c>
    </row>
    <row r="1441" spans="1:9" x14ac:dyDescent="0.25">
      <c r="A1441" t="s">
        <v>1446</v>
      </c>
      <c r="B1441">
        <v>24085.35</v>
      </c>
      <c r="C1441">
        <v>24108.45</v>
      </c>
      <c r="D1441">
        <v>24079.55</v>
      </c>
      <c r="E1441">
        <v>24097.8</v>
      </c>
      <c r="F1441" s="2">
        <f t="shared" si="67"/>
        <v>28.900000000001455</v>
      </c>
      <c r="G1441" s="3">
        <f t="shared" si="68"/>
        <v>29.461135812933357</v>
      </c>
      <c r="H1441" t="str">
        <f t="shared" si="66"/>
        <v>2026-08</v>
      </c>
      <c r="I1441">
        <v>3</v>
      </c>
    </row>
    <row r="1442" spans="1:9" x14ac:dyDescent="0.25">
      <c r="A1442" t="s">
        <v>1447</v>
      </c>
      <c r="B1442">
        <v>24097.15</v>
      </c>
      <c r="C1442">
        <v>24107.8</v>
      </c>
      <c r="D1442">
        <v>24085.15</v>
      </c>
      <c r="E1442">
        <v>24091.8</v>
      </c>
      <c r="F1442" s="2">
        <f t="shared" si="67"/>
        <v>22.649999999997817</v>
      </c>
      <c r="G1442" s="3">
        <f t="shared" si="68"/>
        <v>28.974626112009389</v>
      </c>
      <c r="H1442" t="str">
        <f t="shared" si="66"/>
        <v>2026-08</v>
      </c>
      <c r="I1442">
        <v>3</v>
      </c>
    </row>
    <row r="1443" spans="1:9" x14ac:dyDescent="0.25">
      <c r="A1443" t="s">
        <v>1448</v>
      </c>
      <c r="B1443">
        <v>24093.25</v>
      </c>
      <c r="C1443">
        <v>24094.5</v>
      </c>
      <c r="D1443">
        <v>24063.200000000001</v>
      </c>
      <c r="E1443">
        <v>24065.200000000001</v>
      </c>
      <c r="F1443" s="2">
        <f t="shared" si="67"/>
        <v>31.299999999999272</v>
      </c>
      <c r="G1443" s="3">
        <f t="shared" si="68"/>
        <v>29.140724246865808</v>
      </c>
      <c r="H1443" t="str">
        <f t="shared" si="66"/>
        <v>2026-08</v>
      </c>
      <c r="I1443">
        <v>3</v>
      </c>
    </row>
    <row r="1444" spans="1:9" x14ac:dyDescent="0.25">
      <c r="A1444" t="s">
        <v>1449</v>
      </c>
      <c r="B1444">
        <v>24066.400000000001</v>
      </c>
      <c r="C1444">
        <v>24066.400000000001</v>
      </c>
      <c r="D1444">
        <v>24042.9</v>
      </c>
      <c r="E1444">
        <v>24058.400000000001</v>
      </c>
      <c r="F1444" s="2">
        <f t="shared" si="67"/>
        <v>23.5</v>
      </c>
      <c r="G1444" s="3">
        <f t="shared" si="68"/>
        <v>28.737815372089678</v>
      </c>
      <c r="H1444" t="str">
        <f t="shared" si="66"/>
        <v>2026-08</v>
      </c>
      <c r="I1444">
        <v>3</v>
      </c>
    </row>
    <row r="1445" spans="1:9" x14ac:dyDescent="0.25">
      <c r="A1445" t="s">
        <v>1450</v>
      </c>
      <c r="B1445">
        <v>24060.1</v>
      </c>
      <c r="C1445">
        <v>24068.3</v>
      </c>
      <c r="D1445">
        <v>24048.65</v>
      </c>
      <c r="E1445">
        <v>24056.1</v>
      </c>
      <c r="F1445" s="2">
        <f t="shared" si="67"/>
        <v>19.649999999997817</v>
      </c>
      <c r="G1445" s="3">
        <f t="shared" si="68"/>
        <v>28.088685702654544</v>
      </c>
      <c r="H1445" t="str">
        <f t="shared" si="66"/>
        <v>2026-08</v>
      </c>
      <c r="I1445">
        <v>3</v>
      </c>
    </row>
    <row r="1446" spans="1:9" x14ac:dyDescent="0.25">
      <c r="A1446" t="s">
        <v>1451</v>
      </c>
      <c r="B1446">
        <v>24058.95</v>
      </c>
      <c r="C1446">
        <v>24059.200000000001</v>
      </c>
      <c r="D1446">
        <v>24027.9</v>
      </c>
      <c r="E1446">
        <v>24048.5</v>
      </c>
      <c r="F1446" s="2">
        <f t="shared" si="67"/>
        <v>31.299999999999272</v>
      </c>
      <c r="G1446" s="3">
        <f t="shared" si="68"/>
        <v>28.318065295322022</v>
      </c>
      <c r="H1446" t="str">
        <f t="shared" si="66"/>
        <v>2026-08</v>
      </c>
      <c r="I1446">
        <v>3</v>
      </c>
    </row>
    <row r="1447" spans="1:9" x14ac:dyDescent="0.25">
      <c r="A1447" t="s">
        <v>1452</v>
      </c>
      <c r="B1447">
        <v>24051.65</v>
      </c>
      <c r="C1447">
        <v>24062.25</v>
      </c>
      <c r="D1447">
        <v>24045.3</v>
      </c>
      <c r="E1447">
        <v>24054.35</v>
      </c>
      <c r="F1447" s="2">
        <f t="shared" si="67"/>
        <v>16.950000000000728</v>
      </c>
      <c r="G1447" s="3">
        <f t="shared" si="68"/>
        <v>27.506060631370502</v>
      </c>
      <c r="H1447" t="str">
        <f t="shared" si="66"/>
        <v>2026-08</v>
      </c>
      <c r="I1447">
        <v>3</v>
      </c>
    </row>
    <row r="1448" spans="1:9" x14ac:dyDescent="0.25">
      <c r="A1448" t="s">
        <v>1453</v>
      </c>
      <c r="B1448">
        <v>24056.75</v>
      </c>
      <c r="C1448">
        <v>24059</v>
      </c>
      <c r="D1448">
        <v>24042.65</v>
      </c>
      <c r="E1448">
        <v>24052.45</v>
      </c>
      <c r="F1448" s="2">
        <f t="shared" si="67"/>
        <v>16.349999999998545</v>
      </c>
      <c r="G1448" s="3">
        <f t="shared" si="68"/>
        <v>26.709199157701075</v>
      </c>
      <c r="H1448" t="str">
        <f t="shared" si="66"/>
        <v>2026-08</v>
      </c>
      <c r="I1448">
        <v>3</v>
      </c>
    </row>
    <row r="1449" spans="1:9" x14ac:dyDescent="0.25">
      <c r="A1449" t="s">
        <v>1454</v>
      </c>
      <c r="B1449">
        <v>24054.5</v>
      </c>
      <c r="C1449">
        <v>24082.2</v>
      </c>
      <c r="D1449">
        <v>24049.75</v>
      </c>
      <c r="E1449">
        <v>24078.3</v>
      </c>
      <c r="F1449" s="2">
        <f t="shared" si="67"/>
        <v>32.450000000000728</v>
      </c>
      <c r="G1449" s="3">
        <f t="shared" si="68"/>
        <v>27.119256360722481</v>
      </c>
      <c r="H1449" t="str">
        <f t="shared" si="66"/>
        <v>2026-08</v>
      </c>
      <c r="I1449">
        <v>3</v>
      </c>
    </row>
    <row r="1450" spans="1:9" x14ac:dyDescent="0.25">
      <c r="A1450" t="s">
        <v>1455</v>
      </c>
      <c r="B1450">
        <v>24080.35</v>
      </c>
      <c r="C1450">
        <v>24081.15</v>
      </c>
      <c r="D1450">
        <v>24050.25</v>
      </c>
      <c r="E1450">
        <v>24052.799999999999</v>
      </c>
      <c r="F1450" s="2">
        <f t="shared" si="67"/>
        <v>30.900000000001455</v>
      </c>
      <c r="G1450" s="3">
        <f t="shared" si="68"/>
        <v>27.389309477813836</v>
      </c>
      <c r="H1450" t="str">
        <f t="shared" si="66"/>
        <v>2026-08</v>
      </c>
      <c r="I1450">
        <v>3</v>
      </c>
    </row>
    <row r="1451" spans="1:9" x14ac:dyDescent="0.25">
      <c r="A1451" t="s">
        <v>1456</v>
      </c>
      <c r="B1451">
        <v>24054.05</v>
      </c>
      <c r="C1451">
        <v>24067.15</v>
      </c>
      <c r="D1451">
        <v>24050.95</v>
      </c>
      <c r="E1451">
        <v>24059.85</v>
      </c>
      <c r="F1451" s="2">
        <f t="shared" si="67"/>
        <v>16.200000000000728</v>
      </c>
      <c r="G1451" s="3">
        <f t="shared" si="68"/>
        <v>26.590073086541473</v>
      </c>
      <c r="H1451" t="str">
        <f t="shared" si="66"/>
        <v>2026-08</v>
      </c>
      <c r="I1451">
        <v>3</v>
      </c>
    </row>
    <row r="1452" spans="1:9" x14ac:dyDescent="0.25">
      <c r="A1452" t="s">
        <v>1457</v>
      </c>
      <c r="B1452">
        <v>24061.55</v>
      </c>
      <c r="C1452">
        <v>24062.1</v>
      </c>
      <c r="D1452">
        <v>24048.45</v>
      </c>
      <c r="E1452">
        <v>24055.3</v>
      </c>
      <c r="F1452" s="2">
        <f t="shared" si="67"/>
        <v>13.649999999997817</v>
      </c>
      <c r="G1452" s="3">
        <f t="shared" si="68"/>
        <v>25.665782151788356</v>
      </c>
      <c r="H1452" t="str">
        <f t="shared" si="66"/>
        <v>2026-08</v>
      </c>
      <c r="I1452">
        <v>3</v>
      </c>
    </row>
    <row r="1453" spans="1:9" x14ac:dyDescent="0.25">
      <c r="A1453" t="s">
        <v>1458</v>
      </c>
      <c r="B1453">
        <v>24056.95</v>
      </c>
      <c r="C1453">
        <v>24057.75</v>
      </c>
      <c r="D1453">
        <v>24046.95</v>
      </c>
      <c r="E1453">
        <v>24055.3</v>
      </c>
      <c r="F1453" s="2">
        <f t="shared" si="67"/>
        <v>10.799999999999272</v>
      </c>
      <c r="G1453" s="3">
        <f t="shared" si="68"/>
        <v>24.603940569517707</v>
      </c>
      <c r="H1453" t="str">
        <f t="shared" si="66"/>
        <v>2026-08</v>
      </c>
      <c r="I1453">
        <v>3</v>
      </c>
    </row>
    <row r="1454" spans="1:9" x14ac:dyDescent="0.25">
      <c r="A1454" t="s">
        <v>1459</v>
      </c>
      <c r="B1454">
        <v>24056.2</v>
      </c>
      <c r="C1454">
        <v>24066.15</v>
      </c>
      <c r="D1454">
        <v>24045.15</v>
      </c>
      <c r="E1454">
        <v>24046.15</v>
      </c>
      <c r="F1454" s="2">
        <f t="shared" si="67"/>
        <v>21</v>
      </c>
      <c r="G1454" s="3">
        <f t="shared" si="68"/>
        <v>24.346516243123585</v>
      </c>
      <c r="H1454" t="str">
        <f t="shared" si="66"/>
        <v>2026-08</v>
      </c>
      <c r="I1454">
        <v>3</v>
      </c>
    </row>
    <row r="1455" spans="1:9" x14ac:dyDescent="0.25">
      <c r="A1455" t="s">
        <v>1460</v>
      </c>
      <c r="B1455">
        <v>24048</v>
      </c>
      <c r="C1455">
        <v>24051.200000000001</v>
      </c>
      <c r="D1455">
        <v>24038</v>
      </c>
      <c r="E1455">
        <v>24041.1</v>
      </c>
      <c r="F1455" s="2">
        <f t="shared" si="67"/>
        <v>13.200000000000728</v>
      </c>
      <c r="G1455" s="3">
        <f t="shared" si="68"/>
        <v>23.550336511471951</v>
      </c>
      <c r="H1455" t="str">
        <f t="shared" si="66"/>
        <v>2026-08</v>
      </c>
      <c r="I1455">
        <v>3</v>
      </c>
    </row>
    <row r="1456" spans="1:9" x14ac:dyDescent="0.25">
      <c r="A1456" t="s">
        <v>1461</v>
      </c>
      <c r="B1456">
        <v>24042.5</v>
      </c>
      <c r="C1456">
        <v>24050.6</v>
      </c>
      <c r="D1456">
        <v>24037.75</v>
      </c>
      <c r="E1456">
        <v>24042.2</v>
      </c>
      <c r="F1456" s="2">
        <f t="shared" si="67"/>
        <v>12.849999999998545</v>
      </c>
      <c r="G1456" s="3">
        <f t="shared" si="68"/>
        <v>22.786026760652422</v>
      </c>
      <c r="H1456" t="str">
        <f t="shared" si="66"/>
        <v>2026-08</v>
      </c>
      <c r="I1456">
        <v>3</v>
      </c>
    </row>
    <row r="1457" spans="1:9" x14ac:dyDescent="0.25">
      <c r="A1457" t="s">
        <v>1462</v>
      </c>
      <c r="B1457">
        <v>24044.35</v>
      </c>
      <c r="C1457">
        <v>24052.7</v>
      </c>
      <c r="D1457">
        <v>24035.7</v>
      </c>
      <c r="E1457">
        <v>24044.95</v>
      </c>
      <c r="F1457" s="2">
        <f t="shared" si="67"/>
        <v>17</v>
      </c>
      <c r="G1457" s="3">
        <f t="shared" si="68"/>
        <v>22.372739134891535</v>
      </c>
      <c r="H1457" t="str">
        <f t="shared" si="66"/>
        <v>2026-08</v>
      </c>
      <c r="I1457">
        <v>3</v>
      </c>
    </row>
    <row r="1458" spans="1:9" x14ac:dyDescent="0.25">
      <c r="A1458" t="s">
        <v>1463</v>
      </c>
      <c r="B1458">
        <v>24046.5</v>
      </c>
      <c r="C1458">
        <v>24064.55</v>
      </c>
      <c r="D1458">
        <v>24044.25</v>
      </c>
      <c r="E1458">
        <v>24051.35</v>
      </c>
      <c r="F1458" s="2">
        <f t="shared" si="67"/>
        <v>20.299999999999272</v>
      </c>
      <c r="G1458" s="3">
        <f t="shared" si="68"/>
        <v>22.224686339542085</v>
      </c>
      <c r="H1458" t="str">
        <f t="shared" si="66"/>
        <v>2026-08</v>
      </c>
      <c r="I1458">
        <v>3</v>
      </c>
    </row>
    <row r="1459" spans="1:9" x14ac:dyDescent="0.25">
      <c r="A1459" t="s">
        <v>1464</v>
      </c>
      <c r="B1459">
        <v>24052.35</v>
      </c>
      <c r="C1459">
        <v>24054.05</v>
      </c>
      <c r="D1459">
        <v>24025.65</v>
      </c>
      <c r="E1459">
        <v>24039.05</v>
      </c>
      <c r="F1459" s="2">
        <f t="shared" si="67"/>
        <v>28.399999999997817</v>
      </c>
      <c r="G1459" s="3">
        <f t="shared" si="68"/>
        <v>22.665780172431777</v>
      </c>
      <c r="H1459" t="str">
        <f t="shared" si="66"/>
        <v>2026-08</v>
      </c>
      <c r="I1459">
        <v>3</v>
      </c>
    </row>
    <row r="1460" spans="1:9" x14ac:dyDescent="0.25">
      <c r="A1460" t="s">
        <v>1465</v>
      </c>
      <c r="B1460">
        <v>24040.45</v>
      </c>
      <c r="C1460">
        <v>24087.05</v>
      </c>
      <c r="D1460">
        <v>24037.9</v>
      </c>
      <c r="E1460">
        <v>24049</v>
      </c>
      <c r="F1460" s="2">
        <f t="shared" si="67"/>
        <v>49.149999999997817</v>
      </c>
      <c r="G1460" s="3">
        <f t="shared" si="68"/>
        <v>24.557510160115065</v>
      </c>
      <c r="H1460" t="str">
        <f t="shared" si="66"/>
        <v>2026-08</v>
      </c>
      <c r="I1460">
        <v>3</v>
      </c>
    </row>
    <row r="1461" spans="1:9" x14ac:dyDescent="0.25">
      <c r="A1461" t="s">
        <v>1466</v>
      </c>
      <c r="B1461">
        <v>24049.45</v>
      </c>
      <c r="C1461">
        <v>24058.6</v>
      </c>
      <c r="D1461">
        <v>24039.75</v>
      </c>
      <c r="E1461">
        <v>24053.1</v>
      </c>
      <c r="F1461" s="2">
        <f t="shared" si="67"/>
        <v>18.849999999998545</v>
      </c>
      <c r="G1461" s="3">
        <f t="shared" si="68"/>
        <v>24.149830862963885</v>
      </c>
      <c r="H1461" t="str">
        <f t="shared" si="66"/>
        <v>2026-08</v>
      </c>
      <c r="I1461">
        <v>3</v>
      </c>
    </row>
    <row r="1462" spans="1:9" x14ac:dyDescent="0.25">
      <c r="A1462" t="s">
        <v>1467</v>
      </c>
      <c r="B1462">
        <v>24052.75</v>
      </c>
      <c r="C1462">
        <v>24065.35</v>
      </c>
      <c r="D1462">
        <v>24034.2</v>
      </c>
      <c r="E1462">
        <v>24048.55</v>
      </c>
      <c r="F1462" s="2">
        <f t="shared" si="67"/>
        <v>31.149999999997817</v>
      </c>
      <c r="G1462" s="3">
        <f t="shared" si="68"/>
        <v>24.649842944180595</v>
      </c>
      <c r="H1462" t="str">
        <f t="shared" si="66"/>
        <v>2026-08</v>
      </c>
      <c r="I1462">
        <v>3</v>
      </c>
    </row>
    <row r="1463" spans="1:9" x14ac:dyDescent="0.25">
      <c r="A1463" t="s">
        <v>1468</v>
      </c>
      <c r="B1463">
        <v>24225.200000000001</v>
      </c>
      <c r="C1463">
        <v>24225.200000000001</v>
      </c>
      <c r="D1463">
        <v>24184.55</v>
      </c>
      <c r="E1463">
        <v>24190.799999999999</v>
      </c>
      <c r="F1463" s="2">
        <f t="shared" si="67"/>
        <v>176.65000000000146</v>
      </c>
      <c r="G1463" s="3">
        <f t="shared" si="68"/>
        <v>35.506997019596369</v>
      </c>
      <c r="H1463" t="str">
        <f t="shared" si="66"/>
        <v>2026-08</v>
      </c>
      <c r="I1463">
        <v>3</v>
      </c>
    </row>
    <row r="1464" spans="1:9" x14ac:dyDescent="0.25">
      <c r="A1464" t="s">
        <v>1469</v>
      </c>
      <c r="B1464">
        <v>24190.95</v>
      </c>
      <c r="C1464">
        <v>24212.85</v>
      </c>
      <c r="D1464">
        <v>24185.1</v>
      </c>
      <c r="E1464">
        <v>24210.95</v>
      </c>
      <c r="F1464" s="2">
        <f t="shared" si="67"/>
        <v>27.75</v>
      </c>
      <c r="G1464" s="3">
        <f t="shared" si="68"/>
        <v>34.952925803910915</v>
      </c>
      <c r="H1464" t="str">
        <f t="shared" si="66"/>
        <v>2026-08</v>
      </c>
      <c r="I1464">
        <v>3</v>
      </c>
    </row>
    <row r="1465" spans="1:9" x14ac:dyDescent="0.25">
      <c r="A1465" t="s">
        <v>1470</v>
      </c>
      <c r="B1465">
        <v>24211.05</v>
      </c>
      <c r="C1465">
        <v>24215.05</v>
      </c>
      <c r="D1465">
        <v>24195.95</v>
      </c>
      <c r="E1465">
        <v>24203.8</v>
      </c>
      <c r="F1465" s="2">
        <f t="shared" si="67"/>
        <v>19.099999999998545</v>
      </c>
      <c r="G1465" s="3">
        <f t="shared" si="68"/>
        <v>33.820573960774318</v>
      </c>
      <c r="H1465" t="str">
        <f t="shared" si="66"/>
        <v>2026-08</v>
      </c>
      <c r="I1465">
        <v>3</v>
      </c>
    </row>
    <row r="1466" spans="1:9" x14ac:dyDescent="0.25">
      <c r="A1466" t="s">
        <v>1471</v>
      </c>
      <c r="B1466">
        <v>24204.05</v>
      </c>
      <c r="C1466">
        <v>24221.9</v>
      </c>
      <c r="D1466">
        <v>24199.7</v>
      </c>
      <c r="E1466">
        <v>24221.85</v>
      </c>
      <c r="F1466" s="2">
        <f t="shared" si="67"/>
        <v>22.200000000000728</v>
      </c>
      <c r="G1466" s="3">
        <f t="shared" si="68"/>
        <v>32.990532963576207</v>
      </c>
      <c r="H1466" t="str">
        <f t="shared" si="66"/>
        <v>2026-08</v>
      </c>
      <c r="I1466">
        <v>3</v>
      </c>
    </row>
    <row r="1467" spans="1:9" x14ac:dyDescent="0.25">
      <c r="A1467" t="s">
        <v>1472</v>
      </c>
      <c r="B1467">
        <v>24220.75</v>
      </c>
      <c r="C1467">
        <v>24226.85</v>
      </c>
      <c r="D1467">
        <v>24207.25</v>
      </c>
      <c r="E1467">
        <v>24210.15</v>
      </c>
      <c r="F1467" s="2">
        <f t="shared" si="67"/>
        <v>19.599999999998545</v>
      </c>
      <c r="G1467" s="3">
        <f t="shared" si="68"/>
        <v>32.034066323320658</v>
      </c>
      <c r="H1467" t="str">
        <f t="shared" si="66"/>
        <v>2026-08</v>
      </c>
      <c r="I1467">
        <v>3</v>
      </c>
    </row>
    <row r="1468" spans="1:9" x14ac:dyDescent="0.25">
      <c r="A1468" t="s">
        <v>1473</v>
      </c>
      <c r="B1468">
        <v>24209.65</v>
      </c>
      <c r="C1468">
        <v>24215.35</v>
      </c>
      <c r="D1468">
        <v>24201.25</v>
      </c>
      <c r="E1468">
        <v>24211.85</v>
      </c>
      <c r="F1468" s="2">
        <f t="shared" si="67"/>
        <v>14.099999999998545</v>
      </c>
      <c r="G1468" s="3">
        <f t="shared" si="68"/>
        <v>30.753061585940507</v>
      </c>
      <c r="H1468" t="str">
        <f t="shared" si="66"/>
        <v>2026-08</v>
      </c>
      <c r="I1468">
        <v>3</v>
      </c>
    </row>
    <row r="1469" spans="1:9" x14ac:dyDescent="0.25">
      <c r="A1469" t="s">
        <v>1474</v>
      </c>
      <c r="B1469">
        <v>24211.45</v>
      </c>
      <c r="C1469">
        <v>24218.1</v>
      </c>
      <c r="D1469">
        <v>24203.9</v>
      </c>
      <c r="E1469">
        <v>24212.55</v>
      </c>
      <c r="F1469" s="2">
        <f t="shared" si="67"/>
        <v>14.19999999999709</v>
      </c>
      <c r="G1469" s="3">
        <f t="shared" si="68"/>
        <v>29.570700044087406</v>
      </c>
      <c r="H1469" t="str">
        <f t="shared" si="66"/>
        <v>2026-08</v>
      </c>
      <c r="I1469">
        <v>3</v>
      </c>
    </row>
    <row r="1470" spans="1:9" x14ac:dyDescent="0.25">
      <c r="A1470" t="s">
        <v>1475</v>
      </c>
      <c r="B1470">
        <v>24212.5</v>
      </c>
      <c r="C1470">
        <v>24223.55</v>
      </c>
      <c r="D1470">
        <v>24202.5</v>
      </c>
      <c r="E1470">
        <v>24204.400000000001</v>
      </c>
      <c r="F1470" s="2">
        <f t="shared" si="67"/>
        <v>21.049999999999272</v>
      </c>
      <c r="G1470" s="3">
        <f t="shared" si="68"/>
        <v>28.962078612366827</v>
      </c>
      <c r="H1470" t="str">
        <f t="shared" si="66"/>
        <v>2026-08</v>
      </c>
      <c r="I1470">
        <v>3</v>
      </c>
    </row>
    <row r="1471" spans="1:9" x14ac:dyDescent="0.25">
      <c r="A1471" t="s">
        <v>1476</v>
      </c>
      <c r="B1471">
        <v>24204.75</v>
      </c>
      <c r="C1471">
        <v>24207.7</v>
      </c>
      <c r="D1471">
        <v>24194.2</v>
      </c>
      <c r="E1471">
        <v>24201</v>
      </c>
      <c r="F1471" s="2">
        <f t="shared" si="67"/>
        <v>13.5</v>
      </c>
      <c r="G1471" s="3">
        <f t="shared" si="68"/>
        <v>27.857644425769198</v>
      </c>
      <c r="H1471" t="str">
        <f t="shared" si="66"/>
        <v>2026-08</v>
      </c>
      <c r="I1471">
        <v>3</v>
      </c>
    </row>
    <row r="1472" spans="1:9" x14ac:dyDescent="0.25">
      <c r="A1472" t="s">
        <v>1477</v>
      </c>
      <c r="B1472">
        <v>24200.75</v>
      </c>
      <c r="C1472">
        <v>24217.4</v>
      </c>
      <c r="D1472">
        <v>24200.1</v>
      </c>
      <c r="E1472">
        <v>24212.35</v>
      </c>
      <c r="F1472" s="2">
        <f t="shared" si="67"/>
        <v>17.30000000000291</v>
      </c>
      <c r="G1472" s="3">
        <f t="shared" si="68"/>
        <v>27.103526966785893</v>
      </c>
      <c r="H1472" t="str">
        <f t="shared" si="66"/>
        <v>2026-08</v>
      </c>
      <c r="I1472">
        <v>3</v>
      </c>
    </row>
    <row r="1473" spans="1:9" x14ac:dyDescent="0.25">
      <c r="A1473" t="s">
        <v>1478</v>
      </c>
      <c r="B1473">
        <v>24212.1</v>
      </c>
      <c r="C1473">
        <v>24220.5</v>
      </c>
      <c r="D1473">
        <v>24209.95</v>
      </c>
      <c r="E1473">
        <v>24216.6</v>
      </c>
      <c r="F1473" s="2">
        <f t="shared" si="67"/>
        <v>10.549999999999272</v>
      </c>
      <c r="G1473" s="3">
        <f t="shared" si="68"/>
        <v>25.921132183443994</v>
      </c>
      <c r="H1473" t="str">
        <f t="shared" si="66"/>
        <v>2026-08</v>
      </c>
      <c r="I1473">
        <v>3</v>
      </c>
    </row>
    <row r="1474" spans="1:9" x14ac:dyDescent="0.25">
      <c r="A1474" t="s">
        <v>1479</v>
      </c>
      <c r="B1474">
        <v>24216.55</v>
      </c>
      <c r="C1474">
        <v>24219.8</v>
      </c>
      <c r="D1474">
        <v>24210.15</v>
      </c>
      <c r="E1474">
        <v>24214.75</v>
      </c>
      <c r="F1474" s="2">
        <f t="shared" si="67"/>
        <v>9.6499999999978172</v>
      </c>
      <c r="G1474" s="3">
        <f t="shared" si="68"/>
        <v>24.758908456054979</v>
      </c>
      <c r="H1474" t="str">
        <f t="shared" ref="H1474:H1537" si="69">LEFT(A1474,7)</f>
        <v>2026-08</v>
      </c>
      <c r="I1474">
        <v>3</v>
      </c>
    </row>
    <row r="1475" spans="1:9" x14ac:dyDescent="0.25">
      <c r="A1475" t="s">
        <v>1480</v>
      </c>
      <c r="B1475">
        <v>24214.55</v>
      </c>
      <c r="C1475">
        <v>24223</v>
      </c>
      <c r="D1475">
        <v>24208.15</v>
      </c>
      <c r="E1475">
        <v>24213.75</v>
      </c>
      <c r="F1475" s="2">
        <f t="shared" ref="F1475:F1538" si="70">MAX(C1475-D1475,ABS(C1475-E1474),ABS(D1475-E1474))</f>
        <v>14.849999999998545</v>
      </c>
      <c r="G1475" s="3">
        <f t="shared" si="68"/>
        <v>24.051129280622376</v>
      </c>
      <c r="H1475" t="str">
        <f t="shared" si="69"/>
        <v>2026-08</v>
      </c>
      <c r="I1475">
        <v>3</v>
      </c>
    </row>
    <row r="1476" spans="1:9" x14ac:dyDescent="0.25">
      <c r="A1476" t="s">
        <v>1481</v>
      </c>
      <c r="B1476">
        <v>24214.45</v>
      </c>
      <c r="C1476">
        <v>24221.85</v>
      </c>
      <c r="D1476">
        <v>24207.4</v>
      </c>
      <c r="E1476">
        <v>24217.200000000001</v>
      </c>
      <c r="F1476" s="2">
        <f t="shared" si="70"/>
        <v>14.44999999999709</v>
      </c>
      <c r="G1476" s="3">
        <f t="shared" si="68"/>
        <v>23.365334332006285</v>
      </c>
      <c r="H1476" t="str">
        <f t="shared" si="69"/>
        <v>2026-08</v>
      </c>
      <c r="I1476">
        <v>3</v>
      </c>
    </row>
    <row r="1477" spans="1:9" x14ac:dyDescent="0.25">
      <c r="A1477" t="s">
        <v>1482</v>
      </c>
      <c r="B1477">
        <v>24216.9</v>
      </c>
      <c r="C1477">
        <v>24265.15</v>
      </c>
      <c r="D1477">
        <v>24216.05</v>
      </c>
      <c r="E1477">
        <v>24244.25</v>
      </c>
      <c r="F1477" s="2">
        <f t="shared" si="70"/>
        <v>49.100000000002183</v>
      </c>
      <c r="G1477" s="3">
        <f t="shared" si="68"/>
        <v>25.203524736863134</v>
      </c>
      <c r="H1477" t="str">
        <f t="shared" si="69"/>
        <v>2026-08</v>
      </c>
      <c r="I1477">
        <v>3</v>
      </c>
    </row>
    <row r="1478" spans="1:9" x14ac:dyDescent="0.25">
      <c r="A1478" t="s">
        <v>1483</v>
      </c>
      <c r="B1478">
        <v>24244.15</v>
      </c>
      <c r="C1478">
        <v>24251.7</v>
      </c>
      <c r="D1478">
        <v>24239.05</v>
      </c>
      <c r="E1478">
        <v>24246.799999999999</v>
      </c>
      <c r="F1478" s="2">
        <f t="shared" si="70"/>
        <v>12.650000000001455</v>
      </c>
      <c r="G1478" s="3">
        <f t="shared" si="68"/>
        <v>24.306844398515871</v>
      </c>
      <c r="H1478" t="str">
        <f t="shared" si="69"/>
        <v>2026-08</v>
      </c>
      <c r="I1478">
        <v>3</v>
      </c>
    </row>
    <row r="1479" spans="1:9" x14ac:dyDescent="0.25">
      <c r="A1479" t="s">
        <v>1484</v>
      </c>
      <c r="B1479">
        <v>24247.15</v>
      </c>
      <c r="C1479">
        <v>24251.75</v>
      </c>
      <c r="D1479">
        <v>24237.15</v>
      </c>
      <c r="E1479">
        <v>24247.55</v>
      </c>
      <c r="F1479" s="2">
        <f t="shared" si="70"/>
        <v>14.599999999998545</v>
      </c>
      <c r="G1479" s="3">
        <f t="shared" si="68"/>
        <v>23.613498370050348</v>
      </c>
      <c r="H1479" t="str">
        <f t="shared" si="69"/>
        <v>2026-08</v>
      </c>
      <c r="I1479">
        <v>3</v>
      </c>
    </row>
    <row r="1480" spans="1:9" x14ac:dyDescent="0.25">
      <c r="A1480" t="s">
        <v>1485</v>
      </c>
      <c r="B1480">
        <v>24246.85</v>
      </c>
      <c r="C1480">
        <v>24252.15</v>
      </c>
      <c r="D1480">
        <v>24238.400000000001</v>
      </c>
      <c r="E1480">
        <v>24246.05</v>
      </c>
      <c r="F1480" s="2">
        <f t="shared" si="70"/>
        <v>13.75</v>
      </c>
      <c r="G1480" s="3">
        <f t="shared" si="68"/>
        <v>22.908962772189607</v>
      </c>
      <c r="H1480" t="str">
        <f t="shared" si="69"/>
        <v>2026-08</v>
      </c>
      <c r="I1480">
        <v>3</v>
      </c>
    </row>
    <row r="1481" spans="1:9" x14ac:dyDescent="0.25">
      <c r="A1481" t="s">
        <v>1486</v>
      </c>
      <c r="B1481">
        <v>24245.1</v>
      </c>
      <c r="C1481">
        <v>24249.85</v>
      </c>
      <c r="D1481">
        <v>24231.200000000001</v>
      </c>
      <c r="E1481">
        <v>24232.95</v>
      </c>
      <c r="F1481" s="2">
        <f t="shared" si="70"/>
        <v>18.649999999997817</v>
      </c>
      <c r="G1481" s="3">
        <f t="shared" si="68"/>
        <v>22.604751145604478</v>
      </c>
      <c r="H1481" t="str">
        <f t="shared" si="69"/>
        <v>2026-08</v>
      </c>
      <c r="I1481">
        <v>3</v>
      </c>
    </row>
    <row r="1482" spans="1:9" x14ac:dyDescent="0.25">
      <c r="A1482" t="s">
        <v>1487</v>
      </c>
      <c r="B1482">
        <v>24231.7</v>
      </c>
      <c r="C1482">
        <v>24241.65</v>
      </c>
      <c r="D1482">
        <v>24227.25</v>
      </c>
      <c r="E1482">
        <v>24238.45</v>
      </c>
      <c r="F1482" s="2">
        <f t="shared" si="70"/>
        <v>14.400000000001455</v>
      </c>
      <c r="G1482" s="3">
        <f t="shared" si="68"/>
        <v>22.018697492347119</v>
      </c>
      <c r="H1482" t="str">
        <f t="shared" si="69"/>
        <v>2026-08</v>
      </c>
      <c r="I1482">
        <v>3</v>
      </c>
    </row>
    <row r="1483" spans="1:9" x14ac:dyDescent="0.25">
      <c r="A1483" t="s">
        <v>1488</v>
      </c>
      <c r="B1483">
        <v>24238.05</v>
      </c>
      <c r="C1483">
        <v>24246.3</v>
      </c>
      <c r="D1483">
        <v>24223.3</v>
      </c>
      <c r="E1483">
        <v>24245.8</v>
      </c>
      <c r="F1483" s="2">
        <f t="shared" si="70"/>
        <v>23</v>
      </c>
      <c r="G1483" s="3">
        <f t="shared" si="68"/>
        <v>22.088790528608037</v>
      </c>
      <c r="H1483" t="str">
        <f t="shared" si="69"/>
        <v>2026-08</v>
      </c>
      <c r="I1483">
        <v>3</v>
      </c>
    </row>
    <row r="1484" spans="1:9" x14ac:dyDescent="0.25">
      <c r="A1484" t="s">
        <v>1489</v>
      </c>
      <c r="B1484">
        <v>24244.85</v>
      </c>
      <c r="C1484">
        <v>24249.55</v>
      </c>
      <c r="D1484">
        <v>24236</v>
      </c>
      <c r="E1484">
        <v>24237</v>
      </c>
      <c r="F1484" s="2">
        <f t="shared" si="70"/>
        <v>13.549999999999272</v>
      </c>
      <c r="G1484" s="3">
        <f t="shared" si="68"/>
        <v>21.478876919421698</v>
      </c>
      <c r="H1484" t="str">
        <f t="shared" si="69"/>
        <v>2026-08</v>
      </c>
      <c r="I1484">
        <v>3</v>
      </c>
    </row>
    <row r="1485" spans="1:9" x14ac:dyDescent="0.25">
      <c r="A1485" t="s">
        <v>1490</v>
      </c>
      <c r="B1485">
        <v>24236.95</v>
      </c>
      <c r="C1485">
        <v>24240.9</v>
      </c>
      <c r="D1485">
        <v>24231.15</v>
      </c>
      <c r="E1485">
        <v>24238.1</v>
      </c>
      <c r="F1485" s="2">
        <f t="shared" si="70"/>
        <v>9.75</v>
      </c>
      <c r="G1485" s="3">
        <f t="shared" si="68"/>
        <v>20.641099996605863</v>
      </c>
      <c r="H1485" t="str">
        <f t="shared" si="69"/>
        <v>2026-08</v>
      </c>
      <c r="I1485">
        <v>3</v>
      </c>
    </row>
    <row r="1486" spans="1:9" x14ac:dyDescent="0.25">
      <c r="A1486" t="s">
        <v>1491</v>
      </c>
      <c r="B1486">
        <v>24238.05</v>
      </c>
      <c r="C1486">
        <v>24240.7</v>
      </c>
      <c r="D1486">
        <v>24205.3</v>
      </c>
      <c r="E1486">
        <v>24212.35</v>
      </c>
      <c r="F1486" s="2">
        <f t="shared" si="70"/>
        <v>35.400000000001455</v>
      </c>
      <c r="G1486" s="3">
        <f t="shared" si="68"/>
        <v>21.695307139705552</v>
      </c>
      <c r="H1486" t="str">
        <f t="shared" si="69"/>
        <v>2026-08</v>
      </c>
      <c r="I1486">
        <v>3</v>
      </c>
    </row>
    <row r="1487" spans="1:9" x14ac:dyDescent="0.25">
      <c r="A1487" t="s">
        <v>1492</v>
      </c>
      <c r="B1487">
        <v>24282</v>
      </c>
      <c r="C1487">
        <v>24282</v>
      </c>
      <c r="D1487">
        <v>24210.799999999999</v>
      </c>
      <c r="E1487">
        <v>24230.799999999999</v>
      </c>
      <c r="F1487" s="2">
        <f t="shared" si="70"/>
        <v>71.200000000000728</v>
      </c>
      <c r="G1487" s="3">
        <f t="shared" si="68"/>
        <v>25.231356629726637</v>
      </c>
      <c r="H1487" t="str">
        <f t="shared" si="69"/>
        <v>2026-08</v>
      </c>
      <c r="I1487">
        <v>3</v>
      </c>
    </row>
    <row r="1488" spans="1:9" x14ac:dyDescent="0.25">
      <c r="A1488" t="s">
        <v>1493</v>
      </c>
      <c r="B1488">
        <v>24230.95</v>
      </c>
      <c r="C1488">
        <v>24247.85</v>
      </c>
      <c r="D1488">
        <v>24206.799999999999</v>
      </c>
      <c r="E1488">
        <v>24243.85</v>
      </c>
      <c r="F1488" s="2">
        <f t="shared" si="70"/>
        <v>41.049999999999272</v>
      </c>
      <c r="G1488" s="3">
        <f t="shared" ref="G1488:G1551" si="71">(G1487*13+F1488)/14</f>
        <v>26.361259727603255</v>
      </c>
      <c r="H1488" t="str">
        <f t="shared" si="69"/>
        <v>2026-08</v>
      </c>
      <c r="I1488">
        <v>3</v>
      </c>
    </row>
    <row r="1489" spans="1:9" x14ac:dyDescent="0.25">
      <c r="A1489" t="s">
        <v>1494</v>
      </c>
      <c r="B1489">
        <v>24243.9</v>
      </c>
      <c r="C1489">
        <v>24256.400000000001</v>
      </c>
      <c r="D1489">
        <v>24238.6</v>
      </c>
      <c r="E1489">
        <v>24246.9</v>
      </c>
      <c r="F1489" s="2">
        <f t="shared" si="70"/>
        <v>17.80000000000291</v>
      </c>
      <c r="G1489" s="3">
        <f t="shared" si="71"/>
        <v>25.749741175631804</v>
      </c>
      <c r="H1489" t="str">
        <f t="shared" si="69"/>
        <v>2026-08</v>
      </c>
      <c r="I1489">
        <v>3</v>
      </c>
    </row>
    <row r="1490" spans="1:9" x14ac:dyDescent="0.25">
      <c r="A1490" t="s">
        <v>1495</v>
      </c>
      <c r="B1490">
        <v>24247</v>
      </c>
      <c r="C1490">
        <v>24253.65</v>
      </c>
      <c r="D1490">
        <v>24224.6</v>
      </c>
      <c r="E1490">
        <v>24235.7</v>
      </c>
      <c r="F1490" s="2">
        <f t="shared" si="70"/>
        <v>29.05000000000291</v>
      </c>
      <c r="G1490" s="3">
        <f t="shared" si="71"/>
        <v>25.985473948801168</v>
      </c>
      <c r="H1490" t="str">
        <f t="shared" si="69"/>
        <v>2026-08</v>
      </c>
      <c r="I1490">
        <v>3</v>
      </c>
    </row>
    <row r="1491" spans="1:9" x14ac:dyDescent="0.25">
      <c r="A1491" t="s">
        <v>1496</v>
      </c>
      <c r="B1491">
        <v>24235.55</v>
      </c>
      <c r="C1491">
        <v>24256.85</v>
      </c>
      <c r="D1491">
        <v>24229.35</v>
      </c>
      <c r="E1491">
        <v>24255</v>
      </c>
      <c r="F1491" s="2">
        <f t="shared" si="70"/>
        <v>27.5</v>
      </c>
      <c r="G1491" s="3">
        <f t="shared" si="71"/>
        <v>26.093654381029658</v>
      </c>
      <c r="H1491" t="str">
        <f t="shared" si="69"/>
        <v>2026-08</v>
      </c>
      <c r="I1491">
        <v>3</v>
      </c>
    </row>
    <row r="1492" spans="1:9" x14ac:dyDescent="0.25">
      <c r="A1492" t="s">
        <v>1497</v>
      </c>
      <c r="B1492">
        <v>24255.7</v>
      </c>
      <c r="C1492">
        <v>24258.85</v>
      </c>
      <c r="D1492">
        <v>24245.4</v>
      </c>
      <c r="E1492">
        <v>24253.200000000001</v>
      </c>
      <c r="F1492" s="2">
        <f t="shared" si="70"/>
        <v>13.44999999999709</v>
      </c>
      <c r="G1492" s="3">
        <f t="shared" si="71"/>
        <v>25.190536210955905</v>
      </c>
      <c r="H1492" t="str">
        <f t="shared" si="69"/>
        <v>2026-08</v>
      </c>
      <c r="I1492">
        <v>3</v>
      </c>
    </row>
    <row r="1493" spans="1:9" x14ac:dyDescent="0.25">
      <c r="A1493" t="s">
        <v>1498</v>
      </c>
      <c r="B1493">
        <v>24253.35</v>
      </c>
      <c r="C1493">
        <v>24267.65</v>
      </c>
      <c r="D1493">
        <v>24247.95</v>
      </c>
      <c r="E1493">
        <v>24261</v>
      </c>
      <c r="F1493" s="2">
        <f t="shared" si="70"/>
        <v>19.700000000000728</v>
      </c>
      <c r="G1493" s="3">
        <f t="shared" si="71"/>
        <v>24.798355053030537</v>
      </c>
      <c r="H1493" t="str">
        <f t="shared" si="69"/>
        <v>2026-08</v>
      </c>
      <c r="I1493">
        <v>3</v>
      </c>
    </row>
    <row r="1494" spans="1:9" x14ac:dyDescent="0.25">
      <c r="A1494" t="s">
        <v>1499</v>
      </c>
      <c r="B1494">
        <v>24260.65</v>
      </c>
      <c r="C1494">
        <v>24267.3</v>
      </c>
      <c r="D1494">
        <v>24257.85</v>
      </c>
      <c r="E1494">
        <v>24262.65</v>
      </c>
      <c r="F1494" s="2">
        <f t="shared" si="70"/>
        <v>9.4500000000007276</v>
      </c>
      <c r="G1494" s="3">
        <f t="shared" si="71"/>
        <v>23.702043977814125</v>
      </c>
      <c r="H1494" t="str">
        <f t="shared" si="69"/>
        <v>2026-08</v>
      </c>
      <c r="I1494">
        <v>3</v>
      </c>
    </row>
    <row r="1495" spans="1:9" x14ac:dyDescent="0.25">
      <c r="A1495" t="s">
        <v>1500</v>
      </c>
      <c r="B1495">
        <v>24262.9</v>
      </c>
      <c r="C1495">
        <v>24265.85</v>
      </c>
      <c r="D1495">
        <v>24248.15</v>
      </c>
      <c r="E1495">
        <v>24256.6</v>
      </c>
      <c r="F1495" s="2">
        <f t="shared" si="70"/>
        <v>17.69999999999709</v>
      </c>
      <c r="G1495" s="3">
        <f t="shared" si="71"/>
        <v>23.273326550827193</v>
      </c>
      <c r="H1495" t="str">
        <f t="shared" si="69"/>
        <v>2026-08</v>
      </c>
      <c r="I1495">
        <v>3</v>
      </c>
    </row>
    <row r="1496" spans="1:9" x14ac:dyDescent="0.25">
      <c r="A1496" t="s">
        <v>1501</v>
      </c>
      <c r="B1496">
        <v>24256.55</v>
      </c>
      <c r="C1496">
        <v>24261.75</v>
      </c>
      <c r="D1496">
        <v>24248.85</v>
      </c>
      <c r="E1496">
        <v>24251.05</v>
      </c>
      <c r="F1496" s="2">
        <f t="shared" si="70"/>
        <v>12.900000000001455</v>
      </c>
      <c r="G1496" s="3">
        <f t="shared" si="71"/>
        <v>22.532374654339637</v>
      </c>
      <c r="H1496" t="str">
        <f t="shared" si="69"/>
        <v>2026-08</v>
      </c>
      <c r="I1496">
        <v>3</v>
      </c>
    </row>
    <row r="1497" spans="1:9" x14ac:dyDescent="0.25">
      <c r="A1497" t="s">
        <v>1502</v>
      </c>
      <c r="B1497">
        <v>24251.3</v>
      </c>
      <c r="C1497">
        <v>24259.7</v>
      </c>
      <c r="D1497">
        <v>24238.3</v>
      </c>
      <c r="E1497">
        <v>24239.3</v>
      </c>
      <c r="F1497" s="2">
        <f t="shared" si="70"/>
        <v>21.400000000001455</v>
      </c>
      <c r="G1497" s="3">
        <f t="shared" si="71"/>
        <v>22.451490750458337</v>
      </c>
      <c r="H1497" t="str">
        <f t="shared" si="69"/>
        <v>2026-08</v>
      </c>
      <c r="I1497">
        <v>3</v>
      </c>
    </row>
    <row r="1498" spans="1:9" x14ac:dyDescent="0.25">
      <c r="A1498" t="s">
        <v>1503</v>
      </c>
      <c r="B1498">
        <v>24238.45</v>
      </c>
      <c r="C1498">
        <v>24244.05</v>
      </c>
      <c r="D1498">
        <v>24232.55</v>
      </c>
      <c r="E1498">
        <v>24233.3</v>
      </c>
      <c r="F1498" s="2">
        <f t="shared" si="70"/>
        <v>11.5</v>
      </c>
      <c r="G1498" s="3">
        <f t="shared" si="71"/>
        <v>21.669241411139886</v>
      </c>
      <c r="H1498" t="str">
        <f t="shared" si="69"/>
        <v>2026-08</v>
      </c>
      <c r="I1498">
        <v>3</v>
      </c>
    </row>
    <row r="1499" spans="1:9" x14ac:dyDescent="0.25">
      <c r="A1499" t="s">
        <v>1504</v>
      </c>
      <c r="B1499">
        <v>24233.200000000001</v>
      </c>
      <c r="C1499">
        <v>24243.35</v>
      </c>
      <c r="D1499">
        <v>24227.5</v>
      </c>
      <c r="E1499">
        <v>24238.25</v>
      </c>
      <c r="F1499" s="2">
        <f t="shared" si="70"/>
        <v>15.849999999998545</v>
      </c>
      <c r="G1499" s="3">
        <f t="shared" si="71"/>
        <v>21.253581310344078</v>
      </c>
      <c r="H1499" t="str">
        <f t="shared" si="69"/>
        <v>2026-08</v>
      </c>
      <c r="I1499">
        <v>3</v>
      </c>
    </row>
    <row r="1500" spans="1:9" x14ac:dyDescent="0.25">
      <c r="A1500" t="s">
        <v>1505</v>
      </c>
      <c r="B1500">
        <v>24238</v>
      </c>
      <c r="C1500">
        <v>24246.7</v>
      </c>
      <c r="D1500">
        <v>24227.45</v>
      </c>
      <c r="E1500">
        <v>24233.3</v>
      </c>
      <c r="F1500" s="2">
        <f t="shared" si="70"/>
        <v>19.25</v>
      </c>
      <c r="G1500" s="3">
        <f t="shared" si="71"/>
        <v>21.110468359605218</v>
      </c>
      <c r="H1500" t="str">
        <f t="shared" si="69"/>
        <v>2026-08</v>
      </c>
      <c r="I1500">
        <v>3</v>
      </c>
    </row>
    <row r="1501" spans="1:9" x14ac:dyDescent="0.25">
      <c r="A1501" t="s">
        <v>1506</v>
      </c>
      <c r="B1501">
        <v>24233.1</v>
      </c>
      <c r="C1501">
        <v>24239.4</v>
      </c>
      <c r="D1501">
        <v>24228.55</v>
      </c>
      <c r="E1501">
        <v>24232.799999999999</v>
      </c>
      <c r="F1501" s="2">
        <f t="shared" si="70"/>
        <v>10.850000000002183</v>
      </c>
      <c r="G1501" s="3">
        <f t="shared" si="71"/>
        <v>20.377577762490716</v>
      </c>
      <c r="H1501" t="str">
        <f t="shared" si="69"/>
        <v>2026-08</v>
      </c>
      <c r="I1501">
        <v>3</v>
      </c>
    </row>
    <row r="1502" spans="1:9" x14ac:dyDescent="0.25">
      <c r="A1502" t="s">
        <v>1507</v>
      </c>
      <c r="B1502">
        <v>24232.6</v>
      </c>
      <c r="C1502">
        <v>24253.1</v>
      </c>
      <c r="D1502">
        <v>24231.95</v>
      </c>
      <c r="E1502">
        <v>24244</v>
      </c>
      <c r="F1502" s="2">
        <f t="shared" si="70"/>
        <v>21.149999999997817</v>
      </c>
      <c r="G1502" s="3">
        <f t="shared" si="71"/>
        <v>20.43275077945551</v>
      </c>
      <c r="H1502" t="str">
        <f t="shared" si="69"/>
        <v>2026-08</v>
      </c>
      <c r="I1502">
        <v>3</v>
      </c>
    </row>
    <row r="1503" spans="1:9" x14ac:dyDescent="0.25">
      <c r="A1503" t="s">
        <v>1508</v>
      </c>
      <c r="B1503">
        <v>24244.05</v>
      </c>
      <c r="C1503">
        <v>24248.2</v>
      </c>
      <c r="D1503">
        <v>24234.9</v>
      </c>
      <c r="E1503">
        <v>24246.799999999999</v>
      </c>
      <c r="F1503" s="2">
        <f t="shared" si="70"/>
        <v>13.299999999999272</v>
      </c>
      <c r="G1503" s="3">
        <f t="shared" si="71"/>
        <v>19.923268580922922</v>
      </c>
      <c r="H1503" t="str">
        <f t="shared" si="69"/>
        <v>2026-08</v>
      </c>
      <c r="I1503">
        <v>3</v>
      </c>
    </row>
    <row r="1504" spans="1:9" x14ac:dyDescent="0.25">
      <c r="A1504" t="s">
        <v>1509</v>
      </c>
      <c r="B1504">
        <v>24247.05</v>
      </c>
      <c r="C1504">
        <v>24250.35</v>
      </c>
      <c r="D1504">
        <v>24229.75</v>
      </c>
      <c r="E1504">
        <v>24235.8</v>
      </c>
      <c r="F1504" s="2">
        <f t="shared" si="70"/>
        <v>20.599999999998545</v>
      </c>
      <c r="G1504" s="3">
        <f t="shared" si="71"/>
        <v>19.971606539428326</v>
      </c>
      <c r="H1504" t="str">
        <f t="shared" si="69"/>
        <v>2026-08</v>
      </c>
      <c r="I1504">
        <v>3</v>
      </c>
    </row>
    <row r="1505" spans="1:9" x14ac:dyDescent="0.25">
      <c r="A1505" t="s">
        <v>1510</v>
      </c>
      <c r="B1505">
        <v>24235.599999999999</v>
      </c>
      <c r="C1505">
        <v>24242.9</v>
      </c>
      <c r="D1505">
        <v>24226.1</v>
      </c>
      <c r="E1505">
        <v>24233.95</v>
      </c>
      <c r="F1505" s="2">
        <f t="shared" si="70"/>
        <v>16.80000000000291</v>
      </c>
      <c r="G1505" s="3">
        <f t="shared" si="71"/>
        <v>19.745063215183652</v>
      </c>
      <c r="H1505" t="str">
        <f t="shared" si="69"/>
        <v>2026-08</v>
      </c>
      <c r="I1505">
        <v>3</v>
      </c>
    </row>
    <row r="1506" spans="1:9" x14ac:dyDescent="0.25">
      <c r="A1506" t="s">
        <v>1511</v>
      </c>
      <c r="B1506">
        <v>24232.9</v>
      </c>
      <c r="C1506">
        <v>24236.45</v>
      </c>
      <c r="D1506">
        <v>24223.65</v>
      </c>
      <c r="E1506">
        <v>24230.55</v>
      </c>
      <c r="F1506" s="2">
        <f t="shared" si="70"/>
        <v>12.799999999999272</v>
      </c>
      <c r="G1506" s="3">
        <f t="shared" si="71"/>
        <v>19.248987271241909</v>
      </c>
      <c r="H1506" t="str">
        <f t="shared" si="69"/>
        <v>2026-08</v>
      </c>
      <c r="I1506">
        <v>3</v>
      </c>
    </row>
    <row r="1507" spans="1:9" x14ac:dyDescent="0.25">
      <c r="A1507" t="s">
        <v>1512</v>
      </c>
      <c r="B1507">
        <v>24230.6</v>
      </c>
      <c r="C1507">
        <v>24243.25</v>
      </c>
      <c r="D1507">
        <v>24229.95</v>
      </c>
      <c r="E1507">
        <v>24243.1</v>
      </c>
      <c r="F1507" s="2">
        <f t="shared" si="70"/>
        <v>13.299999999999272</v>
      </c>
      <c r="G1507" s="3">
        <f t="shared" si="71"/>
        <v>18.824059609010288</v>
      </c>
      <c r="H1507" t="str">
        <f t="shared" si="69"/>
        <v>2026-08</v>
      </c>
      <c r="I1507">
        <v>3</v>
      </c>
    </row>
    <row r="1508" spans="1:9" x14ac:dyDescent="0.25">
      <c r="A1508" t="s">
        <v>1513</v>
      </c>
      <c r="B1508">
        <v>24242.7</v>
      </c>
      <c r="C1508">
        <v>24246.25</v>
      </c>
      <c r="D1508">
        <v>24232.9</v>
      </c>
      <c r="E1508">
        <v>24235.35</v>
      </c>
      <c r="F1508" s="2">
        <f t="shared" si="70"/>
        <v>13.349999999998545</v>
      </c>
      <c r="G1508" s="3">
        <f t="shared" si="71"/>
        <v>18.433055351223736</v>
      </c>
      <c r="H1508" t="str">
        <f t="shared" si="69"/>
        <v>2026-08</v>
      </c>
      <c r="I1508">
        <v>3</v>
      </c>
    </row>
    <row r="1509" spans="1:9" x14ac:dyDescent="0.25">
      <c r="A1509" t="s">
        <v>1514</v>
      </c>
      <c r="B1509">
        <v>24234.85</v>
      </c>
      <c r="C1509">
        <v>24244.400000000001</v>
      </c>
      <c r="D1509">
        <v>24233.3</v>
      </c>
      <c r="E1509">
        <v>24236.3</v>
      </c>
      <c r="F1509" s="2">
        <f t="shared" si="70"/>
        <v>11.100000000002183</v>
      </c>
      <c r="G1509" s="3">
        <f t="shared" si="71"/>
        <v>17.90926568327934</v>
      </c>
      <c r="H1509" t="str">
        <f t="shared" si="69"/>
        <v>2026-08</v>
      </c>
      <c r="I1509">
        <v>3</v>
      </c>
    </row>
    <row r="1510" spans="1:9" x14ac:dyDescent="0.25">
      <c r="A1510" t="s">
        <v>1515</v>
      </c>
      <c r="B1510">
        <v>24235.85</v>
      </c>
      <c r="C1510">
        <v>24243.45</v>
      </c>
      <c r="D1510">
        <v>24223.599999999999</v>
      </c>
      <c r="E1510">
        <v>24234.75</v>
      </c>
      <c r="F1510" s="2">
        <f t="shared" si="70"/>
        <v>19.850000000002183</v>
      </c>
      <c r="G1510" s="3">
        <f t="shared" si="71"/>
        <v>18.047889563045256</v>
      </c>
      <c r="H1510" t="str">
        <f t="shared" si="69"/>
        <v>2026-08</v>
      </c>
      <c r="I1510">
        <v>3</v>
      </c>
    </row>
    <row r="1511" spans="1:9" x14ac:dyDescent="0.25">
      <c r="A1511" t="s">
        <v>1516</v>
      </c>
      <c r="B1511">
        <v>24291.1</v>
      </c>
      <c r="C1511">
        <v>24313</v>
      </c>
      <c r="D1511">
        <v>24271.1</v>
      </c>
      <c r="E1511">
        <v>24288.1</v>
      </c>
      <c r="F1511" s="2">
        <f t="shared" si="70"/>
        <v>78.25</v>
      </c>
      <c r="G1511" s="3">
        <f t="shared" si="71"/>
        <v>22.348040308542021</v>
      </c>
      <c r="H1511" t="str">
        <f t="shared" si="69"/>
        <v>2026-08</v>
      </c>
      <c r="I1511">
        <v>3</v>
      </c>
    </row>
    <row r="1512" spans="1:9" x14ac:dyDescent="0.25">
      <c r="A1512" t="s">
        <v>1517</v>
      </c>
      <c r="B1512">
        <v>24287.15</v>
      </c>
      <c r="C1512">
        <v>24291.05</v>
      </c>
      <c r="D1512">
        <v>24272.55</v>
      </c>
      <c r="E1512">
        <v>24281.75</v>
      </c>
      <c r="F1512" s="2">
        <f t="shared" si="70"/>
        <v>18.5</v>
      </c>
      <c r="G1512" s="3">
        <f t="shared" si="71"/>
        <v>22.073180286503305</v>
      </c>
      <c r="H1512" t="str">
        <f t="shared" si="69"/>
        <v>2026-08</v>
      </c>
      <c r="I1512">
        <v>3</v>
      </c>
    </row>
    <row r="1513" spans="1:9" x14ac:dyDescent="0.25">
      <c r="A1513" t="s">
        <v>1518</v>
      </c>
      <c r="B1513">
        <v>24281.65</v>
      </c>
      <c r="C1513">
        <v>24285.15</v>
      </c>
      <c r="D1513">
        <v>24267.3</v>
      </c>
      <c r="E1513">
        <v>24268.2</v>
      </c>
      <c r="F1513" s="2">
        <f t="shared" si="70"/>
        <v>17.850000000002183</v>
      </c>
      <c r="G1513" s="3">
        <f t="shared" si="71"/>
        <v>21.771524551753227</v>
      </c>
      <c r="H1513" t="str">
        <f t="shared" si="69"/>
        <v>2026-08</v>
      </c>
      <c r="I1513">
        <v>3</v>
      </c>
    </row>
    <row r="1514" spans="1:9" x14ac:dyDescent="0.25">
      <c r="A1514" t="s">
        <v>1519</v>
      </c>
      <c r="B1514">
        <v>24268.65</v>
      </c>
      <c r="C1514">
        <v>24276.55</v>
      </c>
      <c r="D1514">
        <v>24267.65</v>
      </c>
      <c r="E1514">
        <v>24273.1</v>
      </c>
      <c r="F1514" s="2">
        <f t="shared" si="70"/>
        <v>8.8999999999978172</v>
      </c>
      <c r="G1514" s="3">
        <f t="shared" si="71"/>
        <v>20.852129940913557</v>
      </c>
      <c r="H1514" t="str">
        <f t="shared" si="69"/>
        <v>2026-08</v>
      </c>
      <c r="I1514">
        <v>3</v>
      </c>
    </row>
    <row r="1515" spans="1:9" x14ac:dyDescent="0.25">
      <c r="A1515" t="s">
        <v>1520</v>
      </c>
      <c r="B1515">
        <v>24273.05</v>
      </c>
      <c r="C1515">
        <v>24284.25</v>
      </c>
      <c r="D1515">
        <v>24271.75</v>
      </c>
      <c r="E1515">
        <v>24277.599999999999</v>
      </c>
      <c r="F1515" s="2">
        <f t="shared" si="70"/>
        <v>12.5</v>
      </c>
      <c r="G1515" s="3">
        <f t="shared" si="71"/>
        <v>20.255549230848299</v>
      </c>
      <c r="H1515" t="str">
        <f t="shared" si="69"/>
        <v>2026-08</v>
      </c>
      <c r="I1515">
        <v>3</v>
      </c>
    </row>
    <row r="1516" spans="1:9" x14ac:dyDescent="0.25">
      <c r="A1516" t="s">
        <v>1521</v>
      </c>
      <c r="B1516">
        <v>24277.7</v>
      </c>
      <c r="C1516">
        <v>24287.7</v>
      </c>
      <c r="D1516">
        <v>24275.05</v>
      </c>
      <c r="E1516">
        <v>24279.25</v>
      </c>
      <c r="F1516" s="2">
        <f t="shared" si="70"/>
        <v>12.650000000001455</v>
      </c>
      <c r="G1516" s="3">
        <f t="shared" si="71"/>
        <v>19.712295714359239</v>
      </c>
      <c r="H1516" t="str">
        <f t="shared" si="69"/>
        <v>2026-08</v>
      </c>
      <c r="I1516">
        <v>3</v>
      </c>
    </row>
    <row r="1517" spans="1:9" x14ac:dyDescent="0.25">
      <c r="A1517" t="s">
        <v>1522</v>
      </c>
      <c r="B1517">
        <v>24279.7</v>
      </c>
      <c r="C1517">
        <v>24280.9</v>
      </c>
      <c r="D1517">
        <v>24240.35</v>
      </c>
      <c r="E1517">
        <v>24242.9</v>
      </c>
      <c r="F1517" s="2">
        <f t="shared" si="70"/>
        <v>40.55000000000291</v>
      </c>
      <c r="G1517" s="3">
        <f t="shared" si="71"/>
        <v>21.200703163333788</v>
      </c>
      <c r="H1517" t="str">
        <f t="shared" si="69"/>
        <v>2026-08</v>
      </c>
      <c r="I1517">
        <v>3</v>
      </c>
    </row>
    <row r="1518" spans="1:9" x14ac:dyDescent="0.25">
      <c r="A1518" t="s">
        <v>1523</v>
      </c>
      <c r="B1518">
        <v>24243.25</v>
      </c>
      <c r="C1518">
        <v>24255</v>
      </c>
      <c r="D1518">
        <v>24209.05</v>
      </c>
      <c r="E1518">
        <v>24210.7</v>
      </c>
      <c r="F1518" s="2">
        <f t="shared" si="70"/>
        <v>45.950000000000728</v>
      </c>
      <c r="G1518" s="3">
        <f t="shared" si="71"/>
        <v>22.96851008023857</v>
      </c>
      <c r="H1518" t="str">
        <f t="shared" si="69"/>
        <v>2026-08</v>
      </c>
      <c r="I1518">
        <v>3</v>
      </c>
    </row>
    <row r="1519" spans="1:9" x14ac:dyDescent="0.25">
      <c r="A1519" t="s">
        <v>1524</v>
      </c>
      <c r="B1519">
        <v>24210.75</v>
      </c>
      <c r="C1519">
        <v>24220.799999999999</v>
      </c>
      <c r="D1519">
        <v>24196.35</v>
      </c>
      <c r="E1519">
        <v>24202.15</v>
      </c>
      <c r="F1519" s="2">
        <f t="shared" si="70"/>
        <v>24.450000000000728</v>
      </c>
      <c r="G1519" s="3">
        <f t="shared" si="71"/>
        <v>23.074330788793009</v>
      </c>
      <c r="H1519" t="str">
        <f t="shared" si="69"/>
        <v>2026-08</v>
      </c>
      <c r="I1519">
        <v>3</v>
      </c>
    </row>
    <row r="1520" spans="1:9" x14ac:dyDescent="0.25">
      <c r="A1520" t="s">
        <v>1525</v>
      </c>
      <c r="B1520">
        <v>24202.05</v>
      </c>
      <c r="C1520">
        <v>24204.05</v>
      </c>
      <c r="D1520">
        <v>24173.75</v>
      </c>
      <c r="E1520">
        <v>24186.799999999999</v>
      </c>
      <c r="F1520" s="2">
        <f t="shared" si="70"/>
        <v>30.299999999999272</v>
      </c>
      <c r="G1520" s="3">
        <f t="shared" si="71"/>
        <v>23.590450018164887</v>
      </c>
      <c r="H1520" t="str">
        <f t="shared" si="69"/>
        <v>2026-08</v>
      </c>
      <c r="I1520">
        <v>3</v>
      </c>
    </row>
    <row r="1521" spans="1:9" x14ac:dyDescent="0.25">
      <c r="A1521" t="s">
        <v>1526</v>
      </c>
      <c r="B1521">
        <v>24187.15</v>
      </c>
      <c r="C1521">
        <v>24200.5</v>
      </c>
      <c r="D1521">
        <v>24180.400000000001</v>
      </c>
      <c r="E1521">
        <v>24181.1</v>
      </c>
      <c r="F1521" s="2">
        <f t="shared" si="70"/>
        <v>20.099999999998545</v>
      </c>
      <c r="G1521" s="3">
        <f t="shared" si="71"/>
        <v>23.341132159724435</v>
      </c>
      <c r="H1521" t="str">
        <f t="shared" si="69"/>
        <v>2026-08</v>
      </c>
      <c r="I1521">
        <v>3</v>
      </c>
    </row>
    <row r="1522" spans="1:9" x14ac:dyDescent="0.25">
      <c r="A1522" t="s">
        <v>1527</v>
      </c>
      <c r="B1522">
        <v>24181.200000000001</v>
      </c>
      <c r="C1522">
        <v>24198.85</v>
      </c>
      <c r="D1522">
        <v>24179.7</v>
      </c>
      <c r="E1522">
        <v>24194.05</v>
      </c>
      <c r="F1522" s="2">
        <f t="shared" si="70"/>
        <v>19.149999999997817</v>
      </c>
      <c r="G1522" s="3">
        <f t="shared" si="71"/>
        <v>23.041765576886821</v>
      </c>
      <c r="H1522" t="str">
        <f t="shared" si="69"/>
        <v>2026-08</v>
      </c>
      <c r="I1522">
        <v>3</v>
      </c>
    </row>
    <row r="1523" spans="1:9" x14ac:dyDescent="0.25">
      <c r="A1523" t="s">
        <v>1528</v>
      </c>
      <c r="B1523">
        <v>24194.1</v>
      </c>
      <c r="C1523">
        <v>24199.55</v>
      </c>
      <c r="D1523">
        <v>24182.95</v>
      </c>
      <c r="E1523">
        <v>24183.9</v>
      </c>
      <c r="F1523" s="2">
        <f t="shared" si="70"/>
        <v>16.599999999998545</v>
      </c>
      <c r="G1523" s="3">
        <f t="shared" si="71"/>
        <v>22.581639464251943</v>
      </c>
      <c r="H1523" t="str">
        <f t="shared" si="69"/>
        <v>2026-08</v>
      </c>
      <c r="I1523">
        <v>3</v>
      </c>
    </row>
    <row r="1524" spans="1:9" x14ac:dyDescent="0.25">
      <c r="A1524" t="s">
        <v>1529</v>
      </c>
      <c r="B1524">
        <v>24183.85</v>
      </c>
      <c r="C1524">
        <v>24193.1</v>
      </c>
      <c r="D1524">
        <v>24175.65</v>
      </c>
      <c r="E1524">
        <v>24180</v>
      </c>
      <c r="F1524" s="2">
        <f t="shared" si="70"/>
        <v>17.44999999999709</v>
      </c>
      <c r="G1524" s="3">
        <f t="shared" si="71"/>
        <v>22.215093788233737</v>
      </c>
      <c r="H1524" t="str">
        <f t="shared" si="69"/>
        <v>2026-08</v>
      </c>
      <c r="I1524">
        <v>3</v>
      </c>
    </row>
    <row r="1525" spans="1:9" x14ac:dyDescent="0.25">
      <c r="A1525" t="s">
        <v>1530</v>
      </c>
      <c r="B1525">
        <v>24180.1</v>
      </c>
      <c r="C1525">
        <v>24190.400000000001</v>
      </c>
      <c r="D1525">
        <v>24179</v>
      </c>
      <c r="E1525">
        <v>24181.85</v>
      </c>
      <c r="F1525" s="2">
        <f t="shared" si="70"/>
        <v>11.400000000001455</v>
      </c>
      <c r="G1525" s="3">
        <f t="shared" si="71"/>
        <v>21.442587089074291</v>
      </c>
      <c r="H1525" t="str">
        <f t="shared" si="69"/>
        <v>2026-08</v>
      </c>
      <c r="I1525">
        <v>3</v>
      </c>
    </row>
    <row r="1526" spans="1:9" x14ac:dyDescent="0.25">
      <c r="A1526" t="s">
        <v>1531</v>
      </c>
      <c r="B1526">
        <v>24180.95</v>
      </c>
      <c r="C1526">
        <v>24182.85</v>
      </c>
      <c r="D1526">
        <v>24153.3</v>
      </c>
      <c r="E1526">
        <v>24166.400000000001</v>
      </c>
      <c r="F1526" s="2">
        <f t="shared" si="70"/>
        <v>29.549999999999272</v>
      </c>
      <c r="G1526" s="3">
        <f t="shared" si="71"/>
        <v>22.021688011283221</v>
      </c>
      <c r="H1526" t="str">
        <f t="shared" si="69"/>
        <v>2026-08</v>
      </c>
      <c r="I1526">
        <v>3</v>
      </c>
    </row>
    <row r="1527" spans="1:9" x14ac:dyDescent="0.25">
      <c r="A1527" t="s">
        <v>1532</v>
      </c>
      <c r="B1527">
        <v>24166.15</v>
      </c>
      <c r="C1527">
        <v>24181.85</v>
      </c>
      <c r="D1527">
        <v>24161.75</v>
      </c>
      <c r="E1527">
        <v>24178.75</v>
      </c>
      <c r="F1527" s="2">
        <f t="shared" si="70"/>
        <v>20.099999999998545</v>
      </c>
      <c r="G1527" s="3">
        <f t="shared" si="71"/>
        <v>21.884424581905744</v>
      </c>
      <c r="H1527" t="str">
        <f t="shared" si="69"/>
        <v>2026-08</v>
      </c>
      <c r="I1527">
        <v>3</v>
      </c>
    </row>
    <row r="1528" spans="1:9" x14ac:dyDescent="0.25">
      <c r="A1528" t="s">
        <v>1533</v>
      </c>
      <c r="B1528">
        <v>24178.5</v>
      </c>
      <c r="C1528">
        <v>24181.05</v>
      </c>
      <c r="D1528">
        <v>24162.65</v>
      </c>
      <c r="E1528">
        <v>24167.599999999999</v>
      </c>
      <c r="F1528" s="2">
        <f t="shared" si="70"/>
        <v>18.399999999997817</v>
      </c>
      <c r="G1528" s="3">
        <f t="shared" si="71"/>
        <v>21.635537111769462</v>
      </c>
      <c r="H1528" t="str">
        <f t="shared" si="69"/>
        <v>2026-08</v>
      </c>
      <c r="I1528">
        <v>3</v>
      </c>
    </row>
    <row r="1529" spans="1:9" x14ac:dyDescent="0.25">
      <c r="A1529" t="s">
        <v>1534</v>
      </c>
      <c r="B1529">
        <v>24167.05</v>
      </c>
      <c r="C1529">
        <v>24172.799999999999</v>
      </c>
      <c r="D1529">
        <v>24157.4</v>
      </c>
      <c r="E1529">
        <v>24158.5</v>
      </c>
      <c r="F1529" s="2">
        <f t="shared" si="70"/>
        <v>15.399999999997817</v>
      </c>
      <c r="G1529" s="3">
        <f t="shared" si="71"/>
        <v>21.190141603785772</v>
      </c>
      <c r="H1529" t="str">
        <f t="shared" si="69"/>
        <v>2026-08</v>
      </c>
      <c r="I1529">
        <v>3</v>
      </c>
    </row>
    <row r="1530" spans="1:9" x14ac:dyDescent="0.25">
      <c r="A1530" t="s">
        <v>1535</v>
      </c>
      <c r="B1530">
        <v>24158.55</v>
      </c>
      <c r="C1530">
        <v>24169</v>
      </c>
      <c r="D1530">
        <v>24148.05</v>
      </c>
      <c r="E1530">
        <v>24150.400000000001</v>
      </c>
      <c r="F1530" s="2">
        <f t="shared" si="70"/>
        <v>20.950000000000728</v>
      </c>
      <c r="G1530" s="3">
        <f t="shared" si="71"/>
        <v>21.172988632086838</v>
      </c>
      <c r="H1530" t="str">
        <f t="shared" si="69"/>
        <v>2026-08</v>
      </c>
      <c r="I1530">
        <v>3</v>
      </c>
    </row>
    <row r="1531" spans="1:9" x14ac:dyDescent="0.25">
      <c r="A1531" t="s">
        <v>1536</v>
      </c>
      <c r="B1531">
        <v>24151.1</v>
      </c>
      <c r="C1531">
        <v>24166.75</v>
      </c>
      <c r="D1531">
        <v>24144.3</v>
      </c>
      <c r="E1531">
        <v>24160.799999999999</v>
      </c>
      <c r="F1531" s="2">
        <f t="shared" si="70"/>
        <v>22.450000000000728</v>
      </c>
      <c r="G1531" s="3">
        <f t="shared" si="71"/>
        <v>21.264203729794975</v>
      </c>
      <c r="H1531" t="str">
        <f t="shared" si="69"/>
        <v>2026-08</v>
      </c>
      <c r="I1531">
        <v>3</v>
      </c>
    </row>
    <row r="1532" spans="1:9" x14ac:dyDescent="0.25">
      <c r="A1532" t="s">
        <v>1537</v>
      </c>
      <c r="B1532">
        <v>24161.05</v>
      </c>
      <c r="C1532">
        <v>24180.9</v>
      </c>
      <c r="D1532">
        <v>24158.35</v>
      </c>
      <c r="E1532">
        <v>24169.05</v>
      </c>
      <c r="F1532" s="2">
        <f t="shared" si="70"/>
        <v>22.55000000000291</v>
      </c>
      <c r="G1532" s="3">
        <f t="shared" si="71"/>
        <v>21.356046320524115</v>
      </c>
      <c r="H1532" t="str">
        <f t="shared" si="69"/>
        <v>2026-08</v>
      </c>
      <c r="I1532">
        <v>3</v>
      </c>
    </row>
    <row r="1533" spans="1:9" x14ac:dyDescent="0.25">
      <c r="A1533" t="s">
        <v>1538</v>
      </c>
      <c r="B1533">
        <v>24165.25</v>
      </c>
      <c r="C1533">
        <v>24175</v>
      </c>
      <c r="D1533">
        <v>24158</v>
      </c>
      <c r="E1533">
        <v>24172.7</v>
      </c>
      <c r="F1533" s="2">
        <f t="shared" si="70"/>
        <v>17</v>
      </c>
      <c r="G1533" s="3">
        <f t="shared" si="71"/>
        <v>21.044900154772392</v>
      </c>
      <c r="H1533" t="str">
        <f t="shared" si="69"/>
        <v>2026-08</v>
      </c>
      <c r="I1533">
        <v>3</v>
      </c>
    </row>
    <row r="1534" spans="1:9" x14ac:dyDescent="0.25">
      <c r="A1534" t="s">
        <v>1539</v>
      </c>
      <c r="B1534">
        <v>24172.45</v>
      </c>
      <c r="C1534">
        <v>24185.65</v>
      </c>
      <c r="D1534">
        <v>24161.95</v>
      </c>
      <c r="E1534">
        <v>24182.15</v>
      </c>
      <c r="F1534" s="2">
        <f t="shared" si="70"/>
        <v>23.700000000000728</v>
      </c>
      <c r="G1534" s="3">
        <f t="shared" si="71"/>
        <v>21.234550143717275</v>
      </c>
      <c r="H1534" t="str">
        <f t="shared" si="69"/>
        <v>2026-08</v>
      </c>
      <c r="I1534">
        <v>3</v>
      </c>
    </row>
    <row r="1535" spans="1:9" x14ac:dyDescent="0.25">
      <c r="A1535" t="s">
        <v>1540</v>
      </c>
      <c r="B1535">
        <v>24172.55</v>
      </c>
      <c r="C1535">
        <v>24198.25</v>
      </c>
      <c r="D1535">
        <v>24128.85</v>
      </c>
      <c r="E1535">
        <v>24181.5</v>
      </c>
      <c r="F1535" s="2">
        <f t="shared" si="70"/>
        <v>69.400000000001455</v>
      </c>
      <c r="G1535" s="3">
        <f t="shared" si="71"/>
        <v>24.674939419166147</v>
      </c>
      <c r="H1535" t="str">
        <f t="shared" si="69"/>
        <v>2026-08</v>
      </c>
      <c r="I1535">
        <v>3</v>
      </c>
    </row>
    <row r="1536" spans="1:9" x14ac:dyDescent="0.25">
      <c r="A1536" t="s">
        <v>1541</v>
      </c>
      <c r="B1536">
        <v>24182.2</v>
      </c>
      <c r="C1536">
        <v>24197.75</v>
      </c>
      <c r="D1536">
        <v>24153</v>
      </c>
      <c r="E1536">
        <v>24154.85</v>
      </c>
      <c r="F1536" s="2">
        <f t="shared" si="70"/>
        <v>44.75</v>
      </c>
      <c r="G1536" s="3">
        <f t="shared" si="71"/>
        <v>26.108872317797136</v>
      </c>
      <c r="H1536" t="str">
        <f t="shared" si="69"/>
        <v>2026-08</v>
      </c>
      <c r="I1536">
        <v>3</v>
      </c>
    </row>
    <row r="1537" spans="1:9" x14ac:dyDescent="0.25">
      <c r="A1537" t="s">
        <v>1542</v>
      </c>
      <c r="B1537">
        <v>24156.9</v>
      </c>
      <c r="C1537">
        <v>24166.1</v>
      </c>
      <c r="D1537">
        <v>24133.8</v>
      </c>
      <c r="E1537">
        <v>24138.85</v>
      </c>
      <c r="F1537" s="2">
        <f t="shared" si="70"/>
        <v>32.299999999999272</v>
      </c>
      <c r="G1537" s="3">
        <f t="shared" si="71"/>
        <v>26.551095723668716</v>
      </c>
      <c r="H1537" t="str">
        <f t="shared" si="69"/>
        <v>2026-08</v>
      </c>
      <c r="I1537">
        <v>3</v>
      </c>
    </row>
    <row r="1538" spans="1:9" x14ac:dyDescent="0.25">
      <c r="A1538" t="s">
        <v>1543</v>
      </c>
      <c r="B1538">
        <v>24141.95</v>
      </c>
      <c r="C1538">
        <v>24149.5</v>
      </c>
      <c r="D1538">
        <v>24130.35</v>
      </c>
      <c r="E1538">
        <v>24141.200000000001</v>
      </c>
      <c r="F1538" s="2">
        <f t="shared" si="70"/>
        <v>19.150000000001455</v>
      </c>
      <c r="G1538" s="3">
        <f t="shared" si="71"/>
        <v>26.022446029121056</v>
      </c>
      <c r="H1538" t="str">
        <f t="shared" ref="H1538:H1601" si="72">LEFT(A1538,7)</f>
        <v>2026-08</v>
      </c>
      <c r="I1538">
        <v>3</v>
      </c>
    </row>
    <row r="1539" spans="1:9" x14ac:dyDescent="0.25">
      <c r="A1539" t="s">
        <v>1544</v>
      </c>
      <c r="B1539">
        <v>24141.95</v>
      </c>
      <c r="C1539">
        <v>24142.7</v>
      </c>
      <c r="D1539">
        <v>24115.45</v>
      </c>
      <c r="E1539">
        <v>24126.35</v>
      </c>
      <c r="F1539" s="2">
        <f t="shared" ref="F1539:F1602" si="73">MAX(C1539-D1539,ABS(C1539-E1538),ABS(D1539-E1538))</f>
        <v>27.25</v>
      </c>
      <c r="G1539" s="3">
        <f t="shared" si="71"/>
        <v>26.110128455612408</v>
      </c>
      <c r="H1539" t="str">
        <f t="shared" si="72"/>
        <v>2026-08</v>
      </c>
      <c r="I1539">
        <v>3</v>
      </c>
    </row>
    <row r="1540" spans="1:9" x14ac:dyDescent="0.25">
      <c r="A1540" t="s">
        <v>1545</v>
      </c>
      <c r="B1540">
        <v>24128.3</v>
      </c>
      <c r="C1540">
        <v>24140.45</v>
      </c>
      <c r="D1540">
        <v>24123.55</v>
      </c>
      <c r="E1540">
        <v>24135.95</v>
      </c>
      <c r="F1540" s="2">
        <f t="shared" si="73"/>
        <v>16.900000000001455</v>
      </c>
      <c r="G1540" s="3">
        <f t="shared" si="71"/>
        <v>25.452262137354484</v>
      </c>
      <c r="H1540" t="str">
        <f t="shared" si="72"/>
        <v>2026-08</v>
      </c>
      <c r="I1540">
        <v>3</v>
      </c>
    </row>
    <row r="1541" spans="1:9" x14ac:dyDescent="0.25">
      <c r="A1541" t="s">
        <v>1546</v>
      </c>
      <c r="B1541">
        <v>24140.05</v>
      </c>
      <c r="C1541">
        <v>24166.9</v>
      </c>
      <c r="D1541">
        <v>24135.7</v>
      </c>
      <c r="E1541">
        <v>24142.7</v>
      </c>
      <c r="F1541" s="2">
        <f t="shared" si="73"/>
        <v>31.200000000000728</v>
      </c>
      <c r="G1541" s="3">
        <f t="shared" si="71"/>
        <v>25.862814841829216</v>
      </c>
      <c r="H1541" t="str">
        <f t="shared" si="72"/>
        <v>2026-08</v>
      </c>
      <c r="I1541">
        <v>3</v>
      </c>
    </row>
    <row r="1542" spans="1:9" x14ac:dyDescent="0.25">
      <c r="A1542" t="s">
        <v>1547</v>
      </c>
      <c r="B1542">
        <v>24144.55</v>
      </c>
      <c r="C1542">
        <v>24149.25</v>
      </c>
      <c r="D1542">
        <v>24133.45</v>
      </c>
      <c r="E1542">
        <v>24147.55</v>
      </c>
      <c r="F1542" s="2">
        <f t="shared" si="73"/>
        <v>15.799999999999272</v>
      </c>
      <c r="G1542" s="3">
        <f t="shared" si="71"/>
        <v>25.144042353127077</v>
      </c>
      <c r="H1542" t="str">
        <f t="shared" si="72"/>
        <v>2026-08</v>
      </c>
      <c r="I1542">
        <v>3</v>
      </c>
    </row>
    <row r="1543" spans="1:9" x14ac:dyDescent="0.25">
      <c r="A1543" t="s">
        <v>1548</v>
      </c>
      <c r="B1543">
        <v>24147.75</v>
      </c>
      <c r="C1543">
        <v>24157.5</v>
      </c>
      <c r="D1543">
        <v>24141.75</v>
      </c>
      <c r="E1543">
        <v>24149.200000000001</v>
      </c>
      <c r="F1543" s="2">
        <f t="shared" si="73"/>
        <v>15.75</v>
      </c>
      <c r="G1543" s="3">
        <f t="shared" si="71"/>
        <v>24.473039327903713</v>
      </c>
      <c r="H1543" t="str">
        <f t="shared" si="72"/>
        <v>2026-08</v>
      </c>
      <c r="I1543">
        <v>3</v>
      </c>
    </row>
    <row r="1544" spans="1:9" x14ac:dyDescent="0.25">
      <c r="A1544" t="s">
        <v>1549</v>
      </c>
      <c r="B1544">
        <v>24150.9</v>
      </c>
      <c r="C1544">
        <v>24157.65</v>
      </c>
      <c r="D1544">
        <v>24140.35</v>
      </c>
      <c r="E1544">
        <v>24152.05</v>
      </c>
      <c r="F1544" s="2">
        <f t="shared" si="73"/>
        <v>17.30000000000291</v>
      </c>
      <c r="G1544" s="3">
        <f t="shared" si="71"/>
        <v>23.960679375910797</v>
      </c>
      <c r="H1544" t="str">
        <f t="shared" si="72"/>
        <v>2026-08</v>
      </c>
      <c r="I1544">
        <v>3</v>
      </c>
    </row>
    <row r="1545" spans="1:9" x14ac:dyDescent="0.25">
      <c r="A1545" t="s">
        <v>1550</v>
      </c>
      <c r="B1545">
        <v>24154.55</v>
      </c>
      <c r="C1545">
        <v>24189.95</v>
      </c>
      <c r="D1545">
        <v>24138.9</v>
      </c>
      <c r="E1545">
        <v>24178.3</v>
      </c>
      <c r="F1545" s="2">
        <f t="shared" si="73"/>
        <v>51.049999999999272</v>
      </c>
      <c r="G1545" s="3">
        <f t="shared" si="71"/>
        <v>25.895630849059973</v>
      </c>
      <c r="H1545" t="str">
        <f t="shared" si="72"/>
        <v>2026-08</v>
      </c>
      <c r="I1545">
        <v>3</v>
      </c>
    </row>
    <row r="1546" spans="1:9" x14ac:dyDescent="0.25">
      <c r="A1546" t="s">
        <v>1551</v>
      </c>
      <c r="B1546">
        <v>24180.45</v>
      </c>
      <c r="C1546">
        <v>24183.8</v>
      </c>
      <c r="D1546">
        <v>24163.8</v>
      </c>
      <c r="E1546">
        <v>24171.599999999999</v>
      </c>
      <c r="F1546" s="2">
        <f t="shared" si="73"/>
        <v>20</v>
      </c>
      <c r="G1546" s="3">
        <f t="shared" si="71"/>
        <v>25.474514359841404</v>
      </c>
      <c r="H1546" t="str">
        <f t="shared" si="72"/>
        <v>2026-08</v>
      </c>
      <c r="I1546">
        <v>3</v>
      </c>
    </row>
    <row r="1547" spans="1:9" x14ac:dyDescent="0.25">
      <c r="A1547" t="s">
        <v>1552</v>
      </c>
      <c r="B1547">
        <v>24174.3</v>
      </c>
      <c r="C1547">
        <v>24181</v>
      </c>
      <c r="D1547">
        <v>24163.8</v>
      </c>
      <c r="E1547">
        <v>24169.85</v>
      </c>
      <c r="F1547" s="2">
        <f t="shared" si="73"/>
        <v>17.200000000000728</v>
      </c>
      <c r="G1547" s="3">
        <f t="shared" si="71"/>
        <v>24.883477619852783</v>
      </c>
      <c r="H1547" t="str">
        <f t="shared" si="72"/>
        <v>2026-08</v>
      </c>
      <c r="I1547">
        <v>3</v>
      </c>
    </row>
    <row r="1548" spans="1:9" x14ac:dyDescent="0.25">
      <c r="A1548" t="s">
        <v>1553</v>
      </c>
      <c r="B1548">
        <v>24172.25</v>
      </c>
      <c r="C1548">
        <v>24175.25</v>
      </c>
      <c r="D1548">
        <v>24150.6</v>
      </c>
      <c r="E1548">
        <v>24156.3</v>
      </c>
      <c r="F1548" s="2">
        <f t="shared" si="73"/>
        <v>24.650000000001455</v>
      </c>
      <c r="G1548" s="3">
        <f t="shared" si="71"/>
        <v>24.866800647006261</v>
      </c>
      <c r="H1548" t="str">
        <f t="shared" si="72"/>
        <v>2026-08</v>
      </c>
      <c r="I1548">
        <v>3</v>
      </c>
    </row>
    <row r="1549" spans="1:9" x14ac:dyDescent="0.25">
      <c r="A1549" t="s">
        <v>1554</v>
      </c>
      <c r="B1549">
        <v>24157.75</v>
      </c>
      <c r="C1549">
        <v>24162.400000000001</v>
      </c>
      <c r="D1549">
        <v>24147.1</v>
      </c>
      <c r="E1549">
        <v>24157.05</v>
      </c>
      <c r="F1549" s="2">
        <f t="shared" si="73"/>
        <v>15.30000000000291</v>
      </c>
      <c r="G1549" s="3">
        <f t="shared" si="71"/>
        <v>24.18345774364888</v>
      </c>
      <c r="H1549" t="str">
        <f t="shared" si="72"/>
        <v>2026-08</v>
      </c>
      <c r="I1549">
        <v>3</v>
      </c>
    </row>
    <row r="1550" spans="1:9" x14ac:dyDescent="0.25">
      <c r="A1550" t="s">
        <v>1555</v>
      </c>
      <c r="B1550">
        <v>24157.599999999999</v>
      </c>
      <c r="C1550">
        <v>24160.85</v>
      </c>
      <c r="D1550">
        <v>24125.9</v>
      </c>
      <c r="E1550">
        <v>24129.9</v>
      </c>
      <c r="F1550" s="2">
        <f t="shared" si="73"/>
        <v>34.94999999999709</v>
      </c>
      <c r="G1550" s="3">
        <f t="shared" si="71"/>
        <v>24.95249647624518</v>
      </c>
      <c r="H1550" t="str">
        <f t="shared" si="72"/>
        <v>2026-08</v>
      </c>
      <c r="I1550">
        <v>3</v>
      </c>
    </row>
    <row r="1551" spans="1:9" x14ac:dyDescent="0.25">
      <c r="A1551" t="s">
        <v>1556</v>
      </c>
      <c r="B1551">
        <v>24129.200000000001</v>
      </c>
      <c r="C1551">
        <v>24137.3</v>
      </c>
      <c r="D1551">
        <v>24122.25</v>
      </c>
      <c r="E1551">
        <v>24126.45</v>
      </c>
      <c r="F1551" s="2">
        <f t="shared" si="73"/>
        <v>15.049999999999272</v>
      </c>
      <c r="G1551" s="3">
        <f t="shared" si="71"/>
        <v>24.245175299370469</v>
      </c>
      <c r="H1551" t="str">
        <f t="shared" si="72"/>
        <v>2026-08</v>
      </c>
      <c r="I1551">
        <v>3</v>
      </c>
    </row>
    <row r="1552" spans="1:9" x14ac:dyDescent="0.25">
      <c r="A1552" t="s">
        <v>1557</v>
      </c>
      <c r="B1552">
        <v>24127.95</v>
      </c>
      <c r="C1552">
        <v>24146</v>
      </c>
      <c r="D1552">
        <v>24125.05</v>
      </c>
      <c r="E1552">
        <v>24140.400000000001</v>
      </c>
      <c r="F1552" s="2">
        <f t="shared" si="73"/>
        <v>20.950000000000728</v>
      </c>
      <c r="G1552" s="3">
        <f t="shared" ref="G1552:G1615" si="74">(G1551*13+F1552)/14</f>
        <v>24.009805635129773</v>
      </c>
      <c r="H1552" t="str">
        <f t="shared" si="72"/>
        <v>2026-08</v>
      </c>
      <c r="I1552">
        <v>3</v>
      </c>
    </row>
    <row r="1553" spans="1:9" x14ac:dyDescent="0.25">
      <c r="A1553" t="s">
        <v>1558</v>
      </c>
      <c r="B1553">
        <v>24142.35</v>
      </c>
      <c r="C1553">
        <v>24179.9</v>
      </c>
      <c r="D1553">
        <v>24128.95</v>
      </c>
      <c r="E1553">
        <v>24156.6</v>
      </c>
      <c r="F1553" s="2">
        <f t="shared" si="73"/>
        <v>50.950000000000728</v>
      </c>
      <c r="G1553" s="3">
        <f t="shared" si="74"/>
        <v>25.934105232620556</v>
      </c>
      <c r="H1553" t="str">
        <f t="shared" si="72"/>
        <v>2026-08</v>
      </c>
      <c r="I1553">
        <v>3</v>
      </c>
    </row>
    <row r="1554" spans="1:9" x14ac:dyDescent="0.25">
      <c r="A1554" t="s">
        <v>1559</v>
      </c>
      <c r="B1554">
        <v>24157.3</v>
      </c>
      <c r="C1554">
        <v>24161.599999999999</v>
      </c>
      <c r="D1554">
        <v>24139.3</v>
      </c>
      <c r="E1554">
        <v>24154.2</v>
      </c>
      <c r="F1554" s="2">
        <f t="shared" si="73"/>
        <v>22.299999999999272</v>
      </c>
      <c r="G1554" s="3">
        <f t="shared" si="74"/>
        <v>25.67452628743332</v>
      </c>
      <c r="H1554" t="str">
        <f t="shared" si="72"/>
        <v>2026-08</v>
      </c>
      <c r="I1554">
        <v>3</v>
      </c>
    </row>
    <row r="1555" spans="1:9" x14ac:dyDescent="0.25">
      <c r="A1555" t="s">
        <v>1560</v>
      </c>
      <c r="B1555">
        <v>24153.95</v>
      </c>
      <c r="C1555">
        <v>24185.200000000001</v>
      </c>
      <c r="D1555">
        <v>24150.9</v>
      </c>
      <c r="E1555">
        <v>24181.85</v>
      </c>
      <c r="F1555" s="2">
        <f t="shared" si="73"/>
        <v>34.299999999999272</v>
      </c>
      <c r="G1555" s="3">
        <f t="shared" si="74"/>
        <v>26.290631552616599</v>
      </c>
      <c r="H1555" t="str">
        <f t="shared" si="72"/>
        <v>2026-08</v>
      </c>
      <c r="I1555">
        <v>3</v>
      </c>
    </row>
    <row r="1556" spans="1:9" x14ac:dyDescent="0.25">
      <c r="A1556" t="s">
        <v>1561</v>
      </c>
      <c r="B1556">
        <v>24183.15</v>
      </c>
      <c r="C1556">
        <v>24215.599999999999</v>
      </c>
      <c r="D1556">
        <v>24173.4</v>
      </c>
      <c r="E1556">
        <v>24209.15</v>
      </c>
      <c r="F1556" s="2">
        <f t="shared" si="73"/>
        <v>42.19999999999709</v>
      </c>
      <c r="G1556" s="3">
        <f t="shared" si="74"/>
        <v>27.427015013143777</v>
      </c>
      <c r="H1556" t="str">
        <f t="shared" si="72"/>
        <v>2026-08</v>
      </c>
      <c r="I1556">
        <v>3</v>
      </c>
    </row>
    <row r="1557" spans="1:9" x14ac:dyDescent="0.25">
      <c r="A1557" t="s">
        <v>1562</v>
      </c>
      <c r="B1557">
        <v>24208.9</v>
      </c>
      <c r="C1557">
        <v>24256.799999999999</v>
      </c>
      <c r="D1557">
        <v>24207.05</v>
      </c>
      <c r="E1557">
        <v>24253.1</v>
      </c>
      <c r="F1557" s="2">
        <f t="shared" si="73"/>
        <v>49.75</v>
      </c>
      <c r="G1557" s="3">
        <f t="shared" si="74"/>
        <v>29.021513940776366</v>
      </c>
      <c r="H1557" t="str">
        <f t="shared" si="72"/>
        <v>2026-08</v>
      </c>
      <c r="I1557">
        <v>3</v>
      </c>
    </row>
    <row r="1558" spans="1:9" x14ac:dyDescent="0.25">
      <c r="A1558" t="s">
        <v>1563</v>
      </c>
      <c r="B1558">
        <v>24252.799999999999</v>
      </c>
      <c r="C1558">
        <v>24267.05</v>
      </c>
      <c r="D1558">
        <v>24239.1</v>
      </c>
      <c r="E1558">
        <v>24260.15</v>
      </c>
      <c r="F1558" s="2">
        <f t="shared" si="73"/>
        <v>27.950000000000728</v>
      </c>
      <c r="G1558" s="3">
        <f t="shared" si="74"/>
        <v>28.944977230720962</v>
      </c>
      <c r="H1558" t="str">
        <f t="shared" si="72"/>
        <v>2026-08</v>
      </c>
      <c r="I1558">
        <v>3</v>
      </c>
    </row>
    <row r="1559" spans="1:9" x14ac:dyDescent="0.25">
      <c r="A1559" t="s">
        <v>1564</v>
      </c>
      <c r="B1559">
        <v>24345</v>
      </c>
      <c r="C1559">
        <v>24363.200000000001</v>
      </c>
      <c r="D1559">
        <v>24309.5</v>
      </c>
      <c r="E1559">
        <v>24351.15</v>
      </c>
      <c r="F1559" s="2">
        <f t="shared" si="73"/>
        <v>103.04999999999927</v>
      </c>
      <c r="G1559" s="3">
        <f t="shared" si="74"/>
        <v>34.238193142812271</v>
      </c>
      <c r="H1559" t="str">
        <f t="shared" si="72"/>
        <v>2026-08</v>
      </c>
      <c r="I1559">
        <v>3</v>
      </c>
    </row>
    <row r="1560" spans="1:9" x14ac:dyDescent="0.25">
      <c r="A1560" t="s">
        <v>1565</v>
      </c>
      <c r="B1560">
        <v>24350.9</v>
      </c>
      <c r="C1560">
        <v>24375.75</v>
      </c>
      <c r="D1560">
        <v>24341.1</v>
      </c>
      <c r="E1560">
        <v>24371.599999999999</v>
      </c>
      <c r="F1560" s="2">
        <f t="shared" si="73"/>
        <v>34.650000000001455</v>
      </c>
      <c r="G1560" s="3">
        <f t="shared" si="74"/>
        <v>34.267607918325787</v>
      </c>
      <c r="H1560" t="str">
        <f t="shared" si="72"/>
        <v>2026-08</v>
      </c>
      <c r="I1560">
        <v>3</v>
      </c>
    </row>
    <row r="1561" spans="1:9" x14ac:dyDescent="0.25">
      <c r="A1561" t="s">
        <v>1566</v>
      </c>
      <c r="B1561">
        <v>24371.35</v>
      </c>
      <c r="C1561">
        <v>24378.6</v>
      </c>
      <c r="D1561">
        <v>24360.799999999999</v>
      </c>
      <c r="E1561">
        <v>24365.8</v>
      </c>
      <c r="F1561" s="2">
        <f t="shared" si="73"/>
        <v>17.799999999999272</v>
      </c>
      <c r="G1561" s="3">
        <f t="shared" si="74"/>
        <v>33.091350209873895</v>
      </c>
      <c r="H1561" t="str">
        <f t="shared" si="72"/>
        <v>2026-08</v>
      </c>
      <c r="I1561">
        <v>3</v>
      </c>
    </row>
    <row r="1562" spans="1:9" x14ac:dyDescent="0.25">
      <c r="A1562" t="s">
        <v>1567</v>
      </c>
      <c r="B1562">
        <v>24366.05</v>
      </c>
      <c r="C1562">
        <v>24369.05</v>
      </c>
      <c r="D1562">
        <v>24333.45</v>
      </c>
      <c r="E1562">
        <v>24342.95</v>
      </c>
      <c r="F1562" s="2">
        <f t="shared" si="73"/>
        <v>35.599999999998545</v>
      </c>
      <c r="G1562" s="3">
        <f t="shared" si="74"/>
        <v>33.270539480597087</v>
      </c>
      <c r="H1562" t="str">
        <f t="shared" si="72"/>
        <v>2026-08</v>
      </c>
      <c r="I1562">
        <v>3</v>
      </c>
    </row>
    <row r="1563" spans="1:9" x14ac:dyDescent="0.25">
      <c r="A1563" t="s">
        <v>1568</v>
      </c>
      <c r="B1563">
        <v>24343.1</v>
      </c>
      <c r="C1563">
        <v>24348.3</v>
      </c>
      <c r="D1563">
        <v>24294.25</v>
      </c>
      <c r="E1563">
        <v>24304.6</v>
      </c>
      <c r="F1563" s="2">
        <f t="shared" si="73"/>
        <v>54.049999999999272</v>
      </c>
      <c r="G1563" s="3">
        <f t="shared" si="74"/>
        <v>34.754786660554387</v>
      </c>
      <c r="H1563" t="str">
        <f t="shared" si="72"/>
        <v>2026-08</v>
      </c>
      <c r="I1563">
        <v>3</v>
      </c>
    </row>
    <row r="1564" spans="1:9" x14ac:dyDescent="0.25">
      <c r="A1564" t="s">
        <v>1569</v>
      </c>
      <c r="B1564">
        <v>24304.65</v>
      </c>
      <c r="C1564">
        <v>24331.3</v>
      </c>
      <c r="D1564">
        <v>24303.45</v>
      </c>
      <c r="E1564">
        <v>24327.45</v>
      </c>
      <c r="F1564" s="2">
        <f t="shared" si="73"/>
        <v>27.849999999998545</v>
      </c>
      <c r="G1564" s="3">
        <f t="shared" si="74"/>
        <v>34.261587613371823</v>
      </c>
      <c r="H1564" t="str">
        <f t="shared" si="72"/>
        <v>2026-08</v>
      </c>
      <c r="I1564">
        <v>3</v>
      </c>
    </row>
    <row r="1565" spans="1:9" x14ac:dyDescent="0.25">
      <c r="A1565" t="s">
        <v>1570</v>
      </c>
      <c r="B1565">
        <v>24328.25</v>
      </c>
      <c r="C1565">
        <v>24329.25</v>
      </c>
      <c r="D1565">
        <v>24311.9</v>
      </c>
      <c r="E1565">
        <v>24320.400000000001</v>
      </c>
      <c r="F1565" s="2">
        <f t="shared" si="73"/>
        <v>17.349999999998545</v>
      </c>
      <c r="G1565" s="3">
        <f t="shared" si="74"/>
        <v>33.053617069559444</v>
      </c>
      <c r="H1565" t="str">
        <f t="shared" si="72"/>
        <v>2026-08</v>
      </c>
      <c r="I1565">
        <v>3</v>
      </c>
    </row>
    <row r="1566" spans="1:9" x14ac:dyDescent="0.25">
      <c r="A1566" t="s">
        <v>1571</v>
      </c>
      <c r="B1566">
        <v>24319.95</v>
      </c>
      <c r="C1566">
        <v>24331.599999999999</v>
      </c>
      <c r="D1566">
        <v>24306.85</v>
      </c>
      <c r="E1566">
        <v>24330.799999999999</v>
      </c>
      <c r="F1566" s="2">
        <f t="shared" si="73"/>
        <v>24.75</v>
      </c>
      <c r="G1566" s="3">
        <f t="shared" si="74"/>
        <v>32.460501564590913</v>
      </c>
      <c r="H1566" t="str">
        <f t="shared" si="72"/>
        <v>2026-08</v>
      </c>
      <c r="I1566">
        <v>3</v>
      </c>
    </row>
    <row r="1567" spans="1:9" x14ac:dyDescent="0.25">
      <c r="A1567" t="s">
        <v>1572</v>
      </c>
      <c r="B1567">
        <v>24330.6</v>
      </c>
      <c r="C1567">
        <v>24332.65</v>
      </c>
      <c r="D1567">
        <v>24297.95</v>
      </c>
      <c r="E1567">
        <v>24304.95</v>
      </c>
      <c r="F1567" s="2">
        <f t="shared" si="73"/>
        <v>34.700000000000728</v>
      </c>
      <c r="G1567" s="3">
        <f t="shared" si="74"/>
        <v>32.620465738548759</v>
      </c>
      <c r="H1567" t="str">
        <f t="shared" si="72"/>
        <v>2026-08</v>
      </c>
      <c r="I1567">
        <v>3</v>
      </c>
    </row>
    <row r="1568" spans="1:9" x14ac:dyDescent="0.25">
      <c r="A1568" t="s">
        <v>1573</v>
      </c>
      <c r="B1568">
        <v>24305.8</v>
      </c>
      <c r="C1568">
        <v>24313.4</v>
      </c>
      <c r="D1568">
        <v>24292.05</v>
      </c>
      <c r="E1568">
        <v>24308.2</v>
      </c>
      <c r="F1568" s="2">
        <f t="shared" si="73"/>
        <v>21.350000000002183</v>
      </c>
      <c r="G1568" s="3">
        <f t="shared" si="74"/>
        <v>31.81543247150972</v>
      </c>
      <c r="H1568" t="str">
        <f t="shared" si="72"/>
        <v>2026-08</v>
      </c>
      <c r="I1568">
        <v>3</v>
      </c>
    </row>
    <row r="1569" spans="1:9" x14ac:dyDescent="0.25">
      <c r="A1569" t="s">
        <v>1574</v>
      </c>
      <c r="B1569">
        <v>24308.5</v>
      </c>
      <c r="C1569">
        <v>24309.1</v>
      </c>
      <c r="D1569">
        <v>24282.95</v>
      </c>
      <c r="E1569">
        <v>24288.45</v>
      </c>
      <c r="F1569" s="2">
        <f t="shared" si="73"/>
        <v>26.149999999997817</v>
      </c>
      <c r="G1569" s="3">
        <f t="shared" si="74"/>
        <v>31.410758723544582</v>
      </c>
      <c r="H1569" t="str">
        <f t="shared" si="72"/>
        <v>2026-08</v>
      </c>
      <c r="I1569">
        <v>3</v>
      </c>
    </row>
    <row r="1570" spans="1:9" x14ac:dyDescent="0.25">
      <c r="A1570" t="s">
        <v>1575</v>
      </c>
      <c r="B1570">
        <v>24288.65</v>
      </c>
      <c r="C1570">
        <v>24290.05</v>
      </c>
      <c r="D1570">
        <v>24266.45</v>
      </c>
      <c r="E1570">
        <v>24280.75</v>
      </c>
      <c r="F1570" s="2">
        <f t="shared" si="73"/>
        <v>23.599999999998545</v>
      </c>
      <c r="G1570" s="3">
        <f t="shared" si="74"/>
        <v>30.852847386148436</v>
      </c>
      <c r="H1570" t="str">
        <f t="shared" si="72"/>
        <v>2026-08</v>
      </c>
      <c r="I1570">
        <v>3</v>
      </c>
    </row>
    <row r="1571" spans="1:9" x14ac:dyDescent="0.25">
      <c r="A1571" t="s">
        <v>1576</v>
      </c>
      <c r="B1571">
        <v>24281.599999999999</v>
      </c>
      <c r="C1571">
        <v>24291.4</v>
      </c>
      <c r="D1571">
        <v>24273.7</v>
      </c>
      <c r="E1571">
        <v>24278.1</v>
      </c>
      <c r="F1571" s="2">
        <f t="shared" si="73"/>
        <v>17.700000000000728</v>
      </c>
      <c r="G1571" s="3">
        <f t="shared" si="74"/>
        <v>29.913358287137886</v>
      </c>
      <c r="H1571" t="str">
        <f t="shared" si="72"/>
        <v>2026-08</v>
      </c>
      <c r="I1571">
        <v>3</v>
      </c>
    </row>
    <row r="1572" spans="1:9" x14ac:dyDescent="0.25">
      <c r="A1572" t="s">
        <v>1577</v>
      </c>
      <c r="B1572">
        <v>24278.45</v>
      </c>
      <c r="C1572">
        <v>24286.05</v>
      </c>
      <c r="D1572">
        <v>24268.9</v>
      </c>
      <c r="E1572">
        <v>24283.9</v>
      </c>
      <c r="F1572" s="2">
        <f t="shared" si="73"/>
        <v>17.149999999997817</v>
      </c>
      <c r="G1572" s="3">
        <f t="shared" si="74"/>
        <v>29.001689838056453</v>
      </c>
      <c r="H1572" t="str">
        <f t="shared" si="72"/>
        <v>2026-08</v>
      </c>
      <c r="I1572">
        <v>3</v>
      </c>
    </row>
    <row r="1573" spans="1:9" x14ac:dyDescent="0.25">
      <c r="A1573" t="s">
        <v>1578</v>
      </c>
      <c r="B1573">
        <v>24283.45</v>
      </c>
      <c r="C1573">
        <v>24285.45</v>
      </c>
      <c r="D1573">
        <v>24273.75</v>
      </c>
      <c r="E1573">
        <v>24279.05</v>
      </c>
      <c r="F1573" s="2">
        <f t="shared" si="73"/>
        <v>11.700000000000728</v>
      </c>
      <c r="G1573" s="3">
        <f t="shared" si="74"/>
        <v>27.765854849623903</v>
      </c>
      <c r="H1573" t="str">
        <f t="shared" si="72"/>
        <v>2026-08</v>
      </c>
      <c r="I1573">
        <v>3</v>
      </c>
    </row>
    <row r="1574" spans="1:9" x14ac:dyDescent="0.25">
      <c r="A1574" t="s">
        <v>1579</v>
      </c>
      <c r="B1574">
        <v>24279.200000000001</v>
      </c>
      <c r="C1574">
        <v>24283.05</v>
      </c>
      <c r="D1574">
        <v>24268.15</v>
      </c>
      <c r="E1574">
        <v>24269.200000000001</v>
      </c>
      <c r="F1574" s="2">
        <f t="shared" si="73"/>
        <v>14.899999999997817</v>
      </c>
      <c r="G1574" s="3">
        <f t="shared" si="74"/>
        <v>26.846865217507752</v>
      </c>
      <c r="H1574" t="str">
        <f t="shared" si="72"/>
        <v>2026-08</v>
      </c>
      <c r="I1574">
        <v>3</v>
      </c>
    </row>
    <row r="1575" spans="1:9" x14ac:dyDescent="0.25">
      <c r="A1575" t="s">
        <v>1580</v>
      </c>
      <c r="B1575">
        <v>24269.4</v>
      </c>
      <c r="C1575">
        <v>24269.95</v>
      </c>
      <c r="D1575">
        <v>24253.599999999999</v>
      </c>
      <c r="E1575">
        <v>24265.45</v>
      </c>
      <c r="F1575" s="2">
        <f t="shared" si="73"/>
        <v>16.350000000002183</v>
      </c>
      <c r="G1575" s="3">
        <f t="shared" si="74"/>
        <v>26.097089130543065</v>
      </c>
      <c r="H1575" t="str">
        <f t="shared" si="72"/>
        <v>2026-08</v>
      </c>
      <c r="I1575">
        <v>3</v>
      </c>
    </row>
    <row r="1576" spans="1:9" x14ac:dyDescent="0.25">
      <c r="A1576" t="s">
        <v>1581</v>
      </c>
      <c r="B1576">
        <v>24265</v>
      </c>
      <c r="C1576">
        <v>24271.25</v>
      </c>
      <c r="D1576">
        <v>24261.05</v>
      </c>
      <c r="E1576">
        <v>24261.9</v>
      </c>
      <c r="F1576" s="2">
        <f t="shared" si="73"/>
        <v>10.200000000000728</v>
      </c>
      <c r="G1576" s="3">
        <f t="shared" si="74"/>
        <v>24.961582764075754</v>
      </c>
      <c r="H1576" t="str">
        <f t="shared" si="72"/>
        <v>2026-08</v>
      </c>
      <c r="I1576">
        <v>3</v>
      </c>
    </row>
    <row r="1577" spans="1:9" x14ac:dyDescent="0.25">
      <c r="A1577" t="s">
        <v>1582</v>
      </c>
      <c r="B1577">
        <v>24262</v>
      </c>
      <c r="C1577">
        <v>24269.95</v>
      </c>
      <c r="D1577">
        <v>24257</v>
      </c>
      <c r="E1577">
        <v>24263.35</v>
      </c>
      <c r="F1577" s="2">
        <f t="shared" si="73"/>
        <v>12.950000000000728</v>
      </c>
      <c r="G1577" s="3">
        <f t="shared" si="74"/>
        <v>24.103612566641825</v>
      </c>
      <c r="H1577" t="str">
        <f t="shared" si="72"/>
        <v>2026-08</v>
      </c>
      <c r="I1577">
        <v>3</v>
      </c>
    </row>
    <row r="1578" spans="1:9" x14ac:dyDescent="0.25">
      <c r="A1578" t="s">
        <v>1583</v>
      </c>
      <c r="B1578">
        <v>24262.7</v>
      </c>
      <c r="C1578">
        <v>24279.55</v>
      </c>
      <c r="D1578">
        <v>24258.65</v>
      </c>
      <c r="E1578">
        <v>24273.5</v>
      </c>
      <c r="F1578" s="2">
        <f t="shared" si="73"/>
        <v>20.899999999997817</v>
      </c>
      <c r="G1578" s="3">
        <f t="shared" si="74"/>
        <v>23.874783097595827</v>
      </c>
      <c r="H1578" t="str">
        <f t="shared" si="72"/>
        <v>2026-08</v>
      </c>
      <c r="I1578">
        <v>3</v>
      </c>
    </row>
    <row r="1579" spans="1:9" x14ac:dyDescent="0.25">
      <c r="A1579" t="s">
        <v>1584</v>
      </c>
      <c r="B1579">
        <v>24272.799999999999</v>
      </c>
      <c r="C1579">
        <v>24281.200000000001</v>
      </c>
      <c r="D1579">
        <v>24266.05</v>
      </c>
      <c r="E1579">
        <v>24273.25</v>
      </c>
      <c r="F1579" s="2">
        <f t="shared" si="73"/>
        <v>15.150000000001455</v>
      </c>
      <c r="G1579" s="3">
        <f t="shared" si="74"/>
        <v>23.251584304910516</v>
      </c>
      <c r="H1579" t="str">
        <f t="shared" si="72"/>
        <v>2026-08</v>
      </c>
      <c r="I1579">
        <v>3</v>
      </c>
    </row>
    <row r="1580" spans="1:9" x14ac:dyDescent="0.25">
      <c r="A1580" t="s">
        <v>1585</v>
      </c>
      <c r="B1580">
        <v>24273.1</v>
      </c>
      <c r="C1580">
        <v>24284</v>
      </c>
      <c r="D1580">
        <v>24270.1</v>
      </c>
      <c r="E1580">
        <v>24278.7</v>
      </c>
      <c r="F1580" s="2">
        <f t="shared" si="73"/>
        <v>13.900000000001455</v>
      </c>
      <c r="G1580" s="3">
        <f t="shared" si="74"/>
        <v>22.583613997417011</v>
      </c>
      <c r="H1580" t="str">
        <f t="shared" si="72"/>
        <v>2026-08</v>
      </c>
      <c r="I1580">
        <v>3</v>
      </c>
    </row>
    <row r="1581" spans="1:9" x14ac:dyDescent="0.25">
      <c r="A1581" t="s">
        <v>1586</v>
      </c>
      <c r="B1581">
        <v>24278.799999999999</v>
      </c>
      <c r="C1581">
        <v>24297.05</v>
      </c>
      <c r="D1581">
        <v>24276.799999999999</v>
      </c>
      <c r="E1581">
        <v>24290.799999999999</v>
      </c>
      <c r="F1581" s="2">
        <f t="shared" si="73"/>
        <v>20.25</v>
      </c>
      <c r="G1581" s="3">
        <f t="shared" si="74"/>
        <v>22.416927283315797</v>
      </c>
      <c r="H1581" t="str">
        <f t="shared" si="72"/>
        <v>2026-08</v>
      </c>
      <c r="I1581">
        <v>3</v>
      </c>
    </row>
    <row r="1582" spans="1:9" x14ac:dyDescent="0.25">
      <c r="A1582" t="s">
        <v>1587</v>
      </c>
      <c r="B1582">
        <v>24288.95</v>
      </c>
      <c r="C1582">
        <v>24292.35</v>
      </c>
      <c r="D1582">
        <v>24270.65</v>
      </c>
      <c r="E1582">
        <v>24276.6</v>
      </c>
      <c r="F1582" s="2">
        <f t="shared" si="73"/>
        <v>21.69999999999709</v>
      </c>
      <c r="G1582" s="3">
        <f t="shared" si="74"/>
        <v>22.365718191650178</v>
      </c>
      <c r="H1582" t="str">
        <f t="shared" si="72"/>
        <v>2026-08</v>
      </c>
      <c r="I1582">
        <v>3</v>
      </c>
    </row>
    <row r="1583" spans="1:9" x14ac:dyDescent="0.25">
      <c r="A1583" t="s">
        <v>1588</v>
      </c>
      <c r="B1583">
        <v>24263.8</v>
      </c>
      <c r="C1583">
        <v>24297.45</v>
      </c>
      <c r="D1583">
        <v>24198.35</v>
      </c>
      <c r="E1583">
        <v>24201.1</v>
      </c>
      <c r="F1583" s="2">
        <f t="shared" si="73"/>
        <v>99.100000000002183</v>
      </c>
      <c r="G1583" s="3">
        <f t="shared" si="74"/>
        <v>27.846738320818179</v>
      </c>
      <c r="H1583" t="str">
        <f t="shared" si="72"/>
        <v>2026-08</v>
      </c>
      <c r="I1583">
        <v>3</v>
      </c>
    </row>
    <row r="1584" spans="1:9" x14ac:dyDescent="0.25">
      <c r="A1584" t="s">
        <v>1589</v>
      </c>
      <c r="B1584">
        <v>24202.5</v>
      </c>
      <c r="C1584">
        <v>24216.9</v>
      </c>
      <c r="D1584">
        <v>24188.6</v>
      </c>
      <c r="E1584">
        <v>24214.400000000001</v>
      </c>
      <c r="F1584" s="2">
        <f t="shared" si="73"/>
        <v>28.30000000000291</v>
      </c>
      <c r="G1584" s="3">
        <f t="shared" si="74"/>
        <v>27.879114155045663</v>
      </c>
      <c r="H1584" t="str">
        <f t="shared" si="72"/>
        <v>2026-08</v>
      </c>
      <c r="I1584">
        <v>3</v>
      </c>
    </row>
    <row r="1585" spans="1:9" x14ac:dyDescent="0.25">
      <c r="A1585" t="s">
        <v>1590</v>
      </c>
      <c r="B1585">
        <v>24214.35</v>
      </c>
      <c r="C1585">
        <v>24228.2</v>
      </c>
      <c r="D1585">
        <v>24189.3</v>
      </c>
      <c r="E1585">
        <v>24196.75</v>
      </c>
      <c r="F1585" s="2">
        <f t="shared" si="73"/>
        <v>38.900000000001455</v>
      </c>
      <c r="G1585" s="3">
        <f t="shared" si="74"/>
        <v>28.666320286828217</v>
      </c>
      <c r="H1585" t="str">
        <f t="shared" si="72"/>
        <v>2026-08</v>
      </c>
      <c r="I1585">
        <v>3</v>
      </c>
    </row>
    <row r="1586" spans="1:9" x14ac:dyDescent="0.25">
      <c r="A1586" t="s">
        <v>1591</v>
      </c>
      <c r="B1586">
        <v>24196.1</v>
      </c>
      <c r="C1586">
        <v>24197.599999999999</v>
      </c>
      <c r="D1586">
        <v>24179.55</v>
      </c>
      <c r="E1586">
        <v>24183.55</v>
      </c>
      <c r="F1586" s="2">
        <f t="shared" si="73"/>
        <v>18.049999999999272</v>
      </c>
      <c r="G1586" s="3">
        <f t="shared" si="74"/>
        <v>27.908011694911863</v>
      </c>
      <c r="H1586" t="str">
        <f t="shared" si="72"/>
        <v>2026-08</v>
      </c>
      <c r="I1586">
        <v>3</v>
      </c>
    </row>
    <row r="1587" spans="1:9" x14ac:dyDescent="0.25">
      <c r="A1587" t="s">
        <v>1592</v>
      </c>
      <c r="B1587">
        <v>24184.45</v>
      </c>
      <c r="C1587">
        <v>24192.3</v>
      </c>
      <c r="D1587">
        <v>24178.65</v>
      </c>
      <c r="E1587">
        <v>24182.5</v>
      </c>
      <c r="F1587" s="2">
        <f t="shared" si="73"/>
        <v>13.649999999997817</v>
      </c>
      <c r="G1587" s="3">
        <f t="shared" si="74"/>
        <v>26.889582288132289</v>
      </c>
      <c r="H1587" t="str">
        <f t="shared" si="72"/>
        <v>2026-08</v>
      </c>
      <c r="I1587">
        <v>3</v>
      </c>
    </row>
    <row r="1588" spans="1:9" x14ac:dyDescent="0.25">
      <c r="A1588" t="s">
        <v>1593</v>
      </c>
      <c r="B1588">
        <v>24183.05</v>
      </c>
      <c r="C1588">
        <v>24191.9</v>
      </c>
      <c r="D1588">
        <v>24168.799999999999</v>
      </c>
      <c r="E1588">
        <v>24169.1</v>
      </c>
      <c r="F1588" s="2">
        <f t="shared" si="73"/>
        <v>23.100000000002183</v>
      </c>
      <c r="G1588" s="3">
        <f t="shared" si="74"/>
        <v>26.618897838980136</v>
      </c>
      <c r="H1588" t="str">
        <f t="shared" si="72"/>
        <v>2026-08</v>
      </c>
      <c r="I1588">
        <v>3</v>
      </c>
    </row>
    <row r="1589" spans="1:9" x14ac:dyDescent="0.25">
      <c r="A1589" t="s">
        <v>1594</v>
      </c>
      <c r="B1589">
        <v>24172.1</v>
      </c>
      <c r="C1589">
        <v>24179.75</v>
      </c>
      <c r="D1589">
        <v>24154.1</v>
      </c>
      <c r="E1589">
        <v>24159.65</v>
      </c>
      <c r="F1589" s="2">
        <f t="shared" si="73"/>
        <v>25.650000000001455</v>
      </c>
      <c r="G1589" s="3">
        <f t="shared" si="74"/>
        <v>26.549690850481657</v>
      </c>
      <c r="H1589" t="str">
        <f t="shared" si="72"/>
        <v>2026-08</v>
      </c>
      <c r="I1589">
        <v>3</v>
      </c>
    </row>
    <row r="1590" spans="1:9" x14ac:dyDescent="0.25">
      <c r="A1590" t="s">
        <v>1595</v>
      </c>
      <c r="B1590">
        <v>24161.15</v>
      </c>
      <c r="C1590">
        <v>24168.75</v>
      </c>
      <c r="D1590">
        <v>24148.45</v>
      </c>
      <c r="E1590">
        <v>24155.85</v>
      </c>
      <c r="F1590" s="2">
        <f t="shared" si="73"/>
        <v>20.299999999999272</v>
      </c>
      <c r="G1590" s="3">
        <f t="shared" si="74"/>
        <v>26.103284361161485</v>
      </c>
      <c r="H1590" t="str">
        <f t="shared" si="72"/>
        <v>2026-08</v>
      </c>
      <c r="I1590">
        <v>3</v>
      </c>
    </row>
    <row r="1591" spans="1:9" x14ac:dyDescent="0.25">
      <c r="A1591" t="s">
        <v>1596</v>
      </c>
      <c r="B1591">
        <v>24156.85</v>
      </c>
      <c r="C1591">
        <v>24158.75</v>
      </c>
      <c r="D1591">
        <v>24137.15</v>
      </c>
      <c r="E1591">
        <v>24144.05</v>
      </c>
      <c r="F1591" s="2">
        <f t="shared" si="73"/>
        <v>21.599999999998545</v>
      </c>
      <c r="G1591" s="3">
        <f t="shared" si="74"/>
        <v>25.781621192506993</v>
      </c>
      <c r="H1591" t="str">
        <f t="shared" si="72"/>
        <v>2026-08</v>
      </c>
      <c r="I1591">
        <v>3</v>
      </c>
    </row>
    <row r="1592" spans="1:9" x14ac:dyDescent="0.25">
      <c r="A1592" t="s">
        <v>1597</v>
      </c>
      <c r="B1592">
        <v>24144.55</v>
      </c>
      <c r="C1592">
        <v>24162.2</v>
      </c>
      <c r="D1592">
        <v>24141.599999999999</v>
      </c>
      <c r="E1592">
        <v>24151.55</v>
      </c>
      <c r="F1592" s="2">
        <f t="shared" si="73"/>
        <v>20.600000000002183</v>
      </c>
      <c r="G1592" s="3">
        <f t="shared" si="74"/>
        <v>25.411505393042365</v>
      </c>
      <c r="H1592" t="str">
        <f t="shared" si="72"/>
        <v>2026-08</v>
      </c>
      <c r="I1592">
        <v>3</v>
      </c>
    </row>
    <row r="1593" spans="1:9" x14ac:dyDescent="0.25">
      <c r="A1593" t="s">
        <v>1598</v>
      </c>
      <c r="B1593">
        <v>24151.5</v>
      </c>
      <c r="C1593">
        <v>24163.4</v>
      </c>
      <c r="D1593">
        <v>24143.25</v>
      </c>
      <c r="E1593">
        <v>24158.799999999999</v>
      </c>
      <c r="F1593" s="2">
        <f t="shared" si="73"/>
        <v>20.150000000001455</v>
      </c>
      <c r="G1593" s="3">
        <f t="shared" si="74"/>
        <v>25.035683579253732</v>
      </c>
      <c r="H1593" t="str">
        <f t="shared" si="72"/>
        <v>2026-08</v>
      </c>
      <c r="I1593">
        <v>3</v>
      </c>
    </row>
    <row r="1594" spans="1:9" x14ac:dyDescent="0.25">
      <c r="A1594" t="s">
        <v>1599</v>
      </c>
      <c r="B1594">
        <v>24158.85</v>
      </c>
      <c r="C1594">
        <v>24160.5</v>
      </c>
      <c r="D1594">
        <v>24133.75</v>
      </c>
      <c r="E1594">
        <v>24154.85</v>
      </c>
      <c r="F1594" s="2">
        <f t="shared" si="73"/>
        <v>26.75</v>
      </c>
      <c r="G1594" s="3">
        <f t="shared" si="74"/>
        <v>25.15813475216418</v>
      </c>
      <c r="H1594" t="str">
        <f t="shared" si="72"/>
        <v>2026-08</v>
      </c>
      <c r="I1594">
        <v>3</v>
      </c>
    </row>
    <row r="1595" spans="1:9" x14ac:dyDescent="0.25">
      <c r="A1595" t="s">
        <v>1600</v>
      </c>
      <c r="B1595">
        <v>24156</v>
      </c>
      <c r="C1595">
        <v>24162.25</v>
      </c>
      <c r="D1595">
        <v>24140.55</v>
      </c>
      <c r="E1595">
        <v>24158.35</v>
      </c>
      <c r="F1595" s="2">
        <f t="shared" si="73"/>
        <v>21.700000000000728</v>
      </c>
      <c r="G1595" s="3">
        <f t="shared" si="74"/>
        <v>24.911125127009647</v>
      </c>
      <c r="H1595" t="str">
        <f t="shared" si="72"/>
        <v>2026-08</v>
      </c>
      <c r="I1595">
        <v>3</v>
      </c>
    </row>
    <row r="1596" spans="1:9" x14ac:dyDescent="0.25">
      <c r="A1596" t="s">
        <v>1601</v>
      </c>
      <c r="B1596">
        <v>24158</v>
      </c>
      <c r="C1596">
        <v>24177.4</v>
      </c>
      <c r="D1596">
        <v>24150.2</v>
      </c>
      <c r="E1596">
        <v>24173</v>
      </c>
      <c r="F1596" s="2">
        <f t="shared" si="73"/>
        <v>27.200000000000728</v>
      </c>
      <c r="G1596" s="3">
        <f t="shared" si="74"/>
        <v>25.07461618936615</v>
      </c>
      <c r="H1596" t="str">
        <f t="shared" si="72"/>
        <v>2026-08</v>
      </c>
      <c r="I1596">
        <v>3</v>
      </c>
    </row>
    <row r="1597" spans="1:9" x14ac:dyDescent="0.25">
      <c r="A1597" t="s">
        <v>1602</v>
      </c>
      <c r="B1597">
        <v>24172.85</v>
      </c>
      <c r="C1597">
        <v>24192.35</v>
      </c>
      <c r="D1597">
        <v>24166</v>
      </c>
      <c r="E1597">
        <v>24180.05</v>
      </c>
      <c r="F1597" s="2">
        <f t="shared" si="73"/>
        <v>26.349999999998545</v>
      </c>
      <c r="G1597" s="3">
        <f t="shared" si="74"/>
        <v>25.165715032982749</v>
      </c>
      <c r="H1597" t="str">
        <f t="shared" si="72"/>
        <v>2026-08</v>
      </c>
      <c r="I1597">
        <v>3</v>
      </c>
    </row>
    <row r="1598" spans="1:9" x14ac:dyDescent="0.25">
      <c r="A1598" t="s">
        <v>1603</v>
      </c>
      <c r="B1598">
        <v>24180.5</v>
      </c>
      <c r="C1598">
        <v>24195.55</v>
      </c>
      <c r="D1598">
        <v>24175.25</v>
      </c>
      <c r="E1598">
        <v>24194.1</v>
      </c>
      <c r="F1598" s="2">
        <f t="shared" si="73"/>
        <v>20.299999999999272</v>
      </c>
      <c r="G1598" s="3">
        <f t="shared" si="74"/>
        <v>24.818163959198216</v>
      </c>
      <c r="H1598" t="str">
        <f t="shared" si="72"/>
        <v>2026-08</v>
      </c>
      <c r="I1598">
        <v>3</v>
      </c>
    </row>
    <row r="1599" spans="1:9" x14ac:dyDescent="0.25">
      <c r="A1599" t="s">
        <v>1604</v>
      </c>
      <c r="B1599">
        <v>24193.1</v>
      </c>
      <c r="C1599">
        <v>24199.9</v>
      </c>
      <c r="D1599">
        <v>24174.45</v>
      </c>
      <c r="E1599">
        <v>24182.3</v>
      </c>
      <c r="F1599" s="2">
        <f t="shared" si="73"/>
        <v>25.450000000000728</v>
      </c>
      <c r="G1599" s="3">
        <f t="shared" si="74"/>
        <v>24.863295104969826</v>
      </c>
      <c r="H1599" t="str">
        <f t="shared" si="72"/>
        <v>2026-08</v>
      </c>
      <c r="I1599">
        <v>3</v>
      </c>
    </row>
    <row r="1600" spans="1:9" x14ac:dyDescent="0.25">
      <c r="A1600" t="s">
        <v>1605</v>
      </c>
      <c r="B1600">
        <v>24181.05</v>
      </c>
      <c r="C1600">
        <v>24187.85</v>
      </c>
      <c r="D1600">
        <v>24163.15</v>
      </c>
      <c r="E1600">
        <v>24163.9</v>
      </c>
      <c r="F1600" s="2">
        <f t="shared" si="73"/>
        <v>24.69999999999709</v>
      </c>
      <c r="G1600" s="3">
        <f t="shared" si="74"/>
        <v>24.851631168900347</v>
      </c>
      <c r="H1600" t="str">
        <f t="shared" si="72"/>
        <v>2026-08</v>
      </c>
      <c r="I1600">
        <v>3</v>
      </c>
    </row>
    <row r="1601" spans="1:9" x14ac:dyDescent="0.25">
      <c r="A1601" t="s">
        <v>1606</v>
      </c>
      <c r="B1601">
        <v>24163.3</v>
      </c>
      <c r="C1601">
        <v>24165.15</v>
      </c>
      <c r="D1601">
        <v>24129</v>
      </c>
      <c r="E1601">
        <v>24131.25</v>
      </c>
      <c r="F1601" s="2">
        <f t="shared" si="73"/>
        <v>36.150000000001455</v>
      </c>
      <c r="G1601" s="3">
        <f t="shared" si="74"/>
        <v>25.658657513978998</v>
      </c>
      <c r="H1601" t="str">
        <f t="shared" si="72"/>
        <v>2026-08</v>
      </c>
      <c r="I1601">
        <v>3</v>
      </c>
    </row>
    <row r="1602" spans="1:9" x14ac:dyDescent="0.25">
      <c r="A1602" t="s">
        <v>1607</v>
      </c>
      <c r="B1602">
        <v>24130.799999999999</v>
      </c>
      <c r="C1602">
        <v>24143.05</v>
      </c>
      <c r="D1602">
        <v>24120.6</v>
      </c>
      <c r="E1602">
        <v>24131.75</v>
      </c>
      <c r="F1602" s="2">
        <f t="shared" si="73"/>
        <v>22.450000000000728</v>
      </c>
      <c r="G1602" s="3">
        <f t="shared" si="74"/>
        <v>25.429467691551981</v>
      </c>
      <c r="H1602" t="str">
        <f t="shared" ref="H1602:H1665" si="75">LEFT(A1602,7)</f>
        <v>2026-08</v>
      </c>
      <c r="I1602">
        <v>3</v>
      </c>
    </row>
    <row r="1603" spans="1:9" x14ac:dyDescent="0.25">
      <c r="A1603" t="s">
        <v>1608</v>
      </c>
      <c r="B1603">
        <v>24131.9</v>
      </c>
      <c r="C1603">
        <v>24158</v>
      </c>
      <c r="D1603">
        <v>24129.15</v>
      </c>
      <c r="E1603">
        <v>24158</v>
      </c>
      <c r="F1603" s="2">
        <f t="shared" ref="F1603:F1666" si="76">MAX(C1603-D1603,ABS(C1603-E1602),ABS(D1603-E1602))</f>
        <v>28.849999999998545</v>
      </c>
      <c r="G1603" s="3">
        <f t="shared" si="74"/>
        <v>25.673791427869592</v>
      </c>
      <c r="H1603" t="str">
        <f t="shared" si="75"/>
        <v>2026-08</v>
      </c>
      <c r="I1603">
        <v>3</v>
      </c>
    </row>
    <row r="1604" spans="1:9" x14ac:dyDescent="0.25">
      <c r="A1604" t="s">
        <v>1609</v>
      </c>
      <c r="B1604">
        <v>24158.15</v>
      </c>
      <c r="C1604">
        <v>24167.200000000001</v>
      </c>
      <c r="D1604">
        <v>24138.1</v>
      </c>
      <c r="E1604">
        <v>24143.3</v>
      </c>
      <c r="F1604" s="2">
        <f t="shared" si="76"/>
        <v>29.100000000002183</v>
      </c>
      <c r="G1604" s="3">
        <f t="shared" si="74"/>
        <v>25.918520611593348</v>
      </c>
      <c r="H1604" t="str">
        <f t="shared" si="75"/>
        <v>2026-08</v>
      </c>
      <c r="I1604">
        <v>3</v>
      </c>
    </row>
    <row r="1605" spans="1:9" x14ac:dyDescent="0.25">
      <c r="A1605" t="s">
        <v>1610</v>
      </c>
      <c r="B1605">
        <v>24143.15</v>
      </c>
      <c r="C1605">
        <v>24157.55</v>
      </c>
      <c r="D1605">
        <v>24140.9</v>
      </c>
      <c r="E1605">
        <v>24156.3</v>
      </c>
      <c r="F1605" s="2">
        <f t="shared" si="76"/>
        <v>16.649999999997817</v>
      </c>
      <c r="G1605" s="3">
        <f t="shared" si="74"/>
        <v>25.25648342505081</v>
      </c>
      <c r="H1605" t="str">
        <f t="shared" si="75"/>
        <v>2026-08</v>
      </c>
      <c r="I1605">
        <v>3</v>
      </c>
    </row>
    <row r="1606" spans="1:9" x14ac:dyDescent="0.25">
      <c r="A1606" t="s">
        <v>1611</v>
      </c>
      <c r="B1606">
        <v>24155.95</v>
      </c>
      <c r="C1606">
        <v>24162.25</v>
      </c>
      <c r="D1606">
        <v>24128.6</v>
      </c>
      <c r="E1606">
        <v>24134.3</v>
      </c>
      <c r="F1606" s="2">
        <f t="shared" si="76"/>
        <v>33.650000000001455</v>
      </c>
      <c r="G1606" s="3">
        <f t="shared" si="74"/>
        <v>25.856020323261568</v>
      </c>
      <c r="H1606" t="str">
        <f t="shared" si="75"/>
        <v>2026-08</v>
      </c>
      <c r="I1606">
        <v>3</v>
      </c>
    </row>
    <row r="1607" spans="1:9" x14ac:dyDescent="0.25">
      <c r="A1607" t="s">
        <v>1612</v>
      </c>
      <c r="B1607">
        <v>24134.799999999999</v>
      </c>
      <c r="C1607">
        <v>24158.25</v>
      </c>
      <c r="D1607">
        <v>24106.55</v>
      </c>
      <c r="E1607">
        <v>24149.55</v>
      </c>
      <c r="F1607" s="2">
        <f t="shared" si="76"/>
        <v>51.700000000000728</v>
      </c>
      <c r="G1607" s="3">
        <f t="shared" si="74"/>
        <v>27.702018871600078</v>
      </c>
      <c r="H1607" t="str">
        <f t="shared" si="75"/>
        <v>2026-08</v>
      </c>
      <c r="I1607">
        <v>3</v>
      </c>
    </row>
    <row r="1608" spans="1:9" x14ac:dyDescent="0.25">
      <c r="A1608" t="s">
        <v>1613</v>
      </c>
      <c r="B1608">
        <v>24148.35</v>
      </c>
      <c r="C1608">
        <v>24166.25</v>
      </c>
      <c r="D1608">
        <v>24130.400000000001</v>
      </c>
      <c r="E1608">
        <v>24160.05</v>
      </c>
      <c r="F1608" s="2">
        <f t="shared" si="76"/>
        <v>35.849999999998545</v>
      </c>
      <c r="G1608" s="3">
        <f t="shared" si="74"/>
        <v>28.284017523628538</v>
      </c>
      <c r="H1608" t="str">
        <f t="shared" si="75"/>
        <v>2026-08</v>
      </c>
      <c r="I1608">
        <v>3</v>
      </c>
    </row>
    <row r="1609" spans="1:9" x14ac:dyDescent="0.25">
      <c r="A1609" t="s">
        <v>1614</v>
      </c>
      <c r="B1609">
        <v>24161.4</v>
      </c>
      <c r="C1609">
        <v>24163.05</v>
      </c>
      <c r="D1609">
        <v>24136.15</v>
      </c>
      <c r="E1609">
        <v>24156.5</v>
      </c>
      <c r="F1609" s="2">
        <f t="shared" si="76"/>
        <v>26.899999999997817</v>
      </c>
      <c r="G1609" s="3">
        <f t="shared" si="74"/>
        <v>28.185159129083484</v>
      </c>
      <c r="H1609" t="str">
        <f t="shared" si="75"/>
        <v>2026-08</v>
      </c>
      <c r="I1609">
        <v>3</v>
      </c>
    </row>
    <row r="1610" spans="1:9" x14ac:dyDescent="0.25">
      <c r="A1610" t="s">
        <v>1615</v>
      </c>
      <c r="B1610">
        <v>24158.3</v>
      </c>
      <c r="C1610">
        <v>24168.5</v>
      </c>
      <c r="D1610">
        <v>24141.5</v>
      </c>
      <c r="E1610">
        <v>24167.200000000001</v>
      </c>
      <c r="F1610" s="2">
        <f t="shared" si="76"/>
        <v>27</v>
      </c>
      <c r="G1610" s="3">
        <f t="shared" si="74"/>
        <v>28.10050490557752</v>
      </c>
      <c r="H1610" t="str">
        <f t="shared" si="75"/>
        <v>2026-08</v>
      </c>
      <c r="I1610">
        <v>3</v>
      </c>
    </row>
    <row r="1611" spans="1:9" x14ac:dyDescent="0.25">
      <c r="A1611" t="s">
        <v>1616</v>
      </c>
      <c r="B1611">
        <v>24168.7</v>
      </c>
      <c r="C1611">
        <v>24188.3</v>
      </c>
      <c r="D1611">
        <v>24158.55</v>
      </c>
      <c r="E1611">
        <v>24169.85</v>
      </c>
      <c r="F1611" s="2">
        <f t="shared" si="76"/>
        <v>29.75</v>
      </c>
      <c r="G1611" s="3">
        <f t="shared" si="74"/>
        <v>28.218325983750553</v>
      </c>
      <c r="H1611" t="str">
        <f t="shared" si="75"/>
        <v>2026-08</v>
      </c>
      <c r="I1611">
        <v>3</v>
      </c>
    </row>
    <row r="1612" spans="1:9" x14ac:dyDescent="0.25">
      <c r="A1612" t="s">
        <v>1617</v>
      </c>
      <c r="B1612">
        <v>24171.25</v>
      </c>
      <c r="C1612">
        <v>24171.25</v>
      </c>
      <c r="D1612">
        <v>24154.75</v>
      </c>
      <c r="E1612">
        <v>24156.15</v>
      </c>
      <c r="F1612" s="2">
        <f t="shared" si="76"/>
        <v>16.5</v>
      </c>
      <c r="G1612" s="3">
        <f t="shared" si="74"/>
        <v>27.38130269919694</v>
      </c>
      <c r="H1612" t="str">
        <f t="shared" si="75"/>
        <v>2026-08</v>
      </c>
      <c r="I1612">
        <v>3</v>
      </c>
    </row>
    <row r="1613" spans="1:9" x14ac:dyDescent="0.25">
      <c r="A1613" t="s">
        <v>1618</v>
      </c>
      <c r="B1613">
        <v>24157.05</v>
      </c>
      <c r="C1613">
        <v>24170.6</v>
      </c>
      <c r="D1613">
        <v>24149.75</v>
      </c>
      <c r="E1613">
        <v>24155.7</v>
      </c>
      <c r="F1613" s="2">
        <f t="shared" si="76"/>
        <v>20.849999999998545</v>
      </c>
      <c r="G1613" s="3">
        <f t="shared" si="74"/>
        <v>26.914781077825626</v>
      </c>
      <c r="H1613" t="str">
        <f t="shared" si="75"/>
        <v>2026-08</v>
      </c>
      <c r="I1613">
        <v>3</v>
      </c>
    </row>
    <row r="1614" spans="1:9" x14ac:dyDescent="0.25">
      <c r="A1614" t="s">
        <v>1619</v>
      </c>
      <c r="B1614">
        <v>24156.799999999999</v>
      </c>
      <c r="C1614">
        <v>24166.05</v>
      </c>
      <c r="D1614">
        <v>24141.55</v>
      </c>
      <c r="E1614">
        <v>24160.95</v>
      </c>
      <c r="F1614" s="2">
        <f t="shared" si="76"/>
        <v>24.5</v>
      </c>
      <c r="G1614" s="3">
        <f t="shared" si="74"/>
        <v>26.742296715123796</v>
      </c>
      <c r="H1614" t="str">
        <f t="shared" si="75"/>
        <v>2026-08</v>
      </c>
      <c r="I1614">
        <v>3</v>
      </c>
    </row>
    <row r="1615" spans="1:9" x14ac:dyDescent="0.25">
      <c r="A1615" t="s">
        <v>1620</v>
      </c>
      <c r="B1615">
        <v>24162.7</v>
      </c>
      <c r="C1615">
        <v>24163.4</v>
      </c>
      <c r="D1615">
        <v>24117</v>
      </c>
      <c r="E1615">
        <v>24117.85</v>
      </c>
      <c r="F1615" s="2">
        <f t="shared" si="76"/>
        <v>46.400000000001455</v>
      </c>
      <c r="G1615" s="3">
        <f t="shared" si="74"/>
        <v>28.146418378329344</v>
      </c>
      <c r="H1615" t="str">
        <f t="shared" si="75"/>
        <v>2026-08</v>
      </c>
      <c r="I1615">
        <v>3</v>
      </c>
    </row>
    <row r="1616" spans="1:9" x14ac:dyDescent="0.25">
      <c r="A1616" t="s">
        <v>1621</v>
      </c>
      <c r="B1616">
        <v>24117.9</v>
      </c>
      <c r="C1616">
        <v>24123.200000000001</v>
      </c>
      <c r="D1616">
        <v>24092.85</v>
      </c>
      <c r="E1616">
        <v>24105.7</v>
      </c>
      <c r="F1616" s="2">
        <f t="shared" si="76"/>
        <v>30.350000000002183</v>
      </c>
      <c r="G1616" s="3">
        <f t="shared" ref="G1616:G1679" si="77">(G1615*13+F1616)/14</f>
        <v>28.303817065591691</v>
      </c>
      <c r="H1616" t="str">
        <f t="shared" si="75"/>
        <v>2026-08</v>
      </c>
      <c r="I1616">
        <v>3</v>
      </c>
    </row>
    <row r="1617" spans="1:9" x14ac:dyDescent="0.25">
      <c r="A1617" t="s">
        <v>1622</v>
      </c>
      <c r="B1617">
        <v>24106.35</v>
      </c>
      <c r="C1617">
        <v>24109.65</v>
      </c>
      <c r="D1617">
        <v>24076.85</v>
      </c>
      <c r="E1617">
        <v>24083.15</v>
      </c>
      <c r="F1617" s="2">
        <f t="shared" si="76"/>
        <v>32.80000000000291</v>
      </c>
      <c r="G1617" s="3">
        <f t="shared" si="77"/>
        <v>28.624972989478206</v>
      </c>
      <c r="H1617" t="str">
        <f t="shared" si="75"/>
        <v>2026-08</v>
      </c>
      <c r="I1617">
        <v>3</v>
      </c>
    </row>
    <row r="1618" spans="1:9" x14ac:dyDescent="0.25">
      <c r="A1618" t="s">
        <v>1623</v>
      </c>
      <c r="B1618">
        <v>24084.25</v>
      </c>
      <c r="C1618">
        <v>24098.7</v>
      </c>
      <c r="D1618">
        <v>24077</v>
      </c>
      <c r="E1618">
        <v>24086.9</v>
      </c>
      <c r="F1618" s="2">
        <f t="shared" si="76"/>
        <v>21.700000000000728</v>
      </c>
      <c r="G1618" s="3">
        <f t="shared" si="77"/>
        <v>28.130332061658386</v>
      </c>
      <c r="H1618" t="str">
        <f t="shared" si="75"/>
        <v>2026-08</v>
      </c>
      <c r="I1618">
        <v>3</v>
      </c>
    </row>
    <row r="1619" spans="1:9" x14ac:dyDescent="0.25">
      <c r="A1619" t="s">
        <v>1624</v>
      </c>
      <c r="B1619">
        <v>24087.599999999999</v>
      </c>
      <c r="C1619">
        <v>24096.1</v>
      </c>
      <c r="D1619">
        <v>24083.85</v>
      </c>
      <c r="E1619">
        <v>24094.65</v>
      </c>
      <c r="F1619" s="2">
        <f t="shared" si="76"/>
        <v>12.25</v>
      </c>
      <c r="G1619" s="3">
        <f t="shared" si="77"/>
        <v>26.996022628682788</v>
      </c>
      <c r="H1619" t="str">
        <f t="shared" si="75"/>
        <v>2026-08</v>
      </c>
      <c r="I1619">
        <v>3</v>
      </c>
    </row>
    <row r="1620" spans="1:9" x14ac:dyDescent="0.25">
      <c r="A1620" t="s">
        <v>1625</v>
      </c>
      <c r="B1620">
        <v>24096.15</v>
      </c>
      <c r="C1620">
        <v>24108.1</v>
      </c>
      <c r="D1620">
        <v>24093.45</v>
      </c>
      <c r="E1620">
        <v>24105.599999999999</v>
      </c>
      <c r="F1620" s="2">
        <f t="shared" si="76"/>
        <v>14.649999999997817</v>
      </c>
      <c r="G1620" s="3">
        <f t="shared" si="77"/>
        <v>26.114163869491001</v>
      </c>
      <c r="H1620" t="str">
        <f t="shared" si="75"/>
        <v>2026-08</v>
      </c>
      <c r="I1620">
        <v>3</v>
      </c>
    </row>
    <row r="1621" spans="1:9" x14ac:dyDescent="0.25">
      <c r="A1621" t="s">
        <v>1626</v>
      </c>
      <c r="B1621">
        <v>24105.8</v>
      </c>
      <c r="C1621">
        <v>24110.95</v>
      </c>
      <c r="D1621">
        <v>24096.45</v>
      </c>
      <c r="E1621">
        <v>24096.45</v>
      </c>
      <c r="F1621" s="2">
        <f t="shared" si="76"/>
        <v>14.5</v>
      </c>
      <c r="G1621" s="3">
        <f t="shared" si="77"/>
        <v>25.284580735955931</v>
      </c>
      <c r="H1621" t="str">
        <f t="shared" si="75"/>
        <v>2026-08</v>
      </c>
      <c r="I1621">
        <v>3</v>
      </c>
    </row>
    <row r="1622" spans="1:9" x14ac:dyDescent="0.25">
      <c r="A1622" t="s">
        <v>1627</v>
      </c>
      <c r="B1622">
        <v>24098.7</v>
      </c>
      <c r="C1622">
        <v>24110</v>
      </c>
      <c r="D1622">
        <v>24089.35</v>
      </c>
      <c r="E1622">
        <v>24103.55</v>
      </c>
      <c r="F1622" s="2">
        <f t="shared" si="76"/>
        <v>20.650000000001455</v>
      </c>
      <c r="G1622" s="3">
        <f t="shared" si="77"/>
        <v>24.953539254816324</v>
      </c>
      <c r="H1622" t="str">
        <f t="shared" si="75"/>
        <v>2026-08</v>
      </c>
      <c r="I1622">
        <v>3</v>
      </c>
    </row>
    <row r="1623" spans="1:9" x14ac:dyDescent="0.25">
      <c r="A1623" t="s">
        <v>1628</v>
      </c>
      <c r="B1623">
        <v>24105.35</v>
      </c>
      <c r="C1623">
        <v>24116.45</v>
      </c>
      <c r="D1623">
        <v>24095.5</v>
      </c>
      <c r="E1623">
        <v>24096.15</v>
      </c>
      <c r="F1623" s="2">
        <f t="shared" si="76"/>
        <v>20.950000000000728</v>
      </c>
      <c r="G1623" s="3">
        <f t="shared" si="77"/>
        <v>24.667572165186638</v>
      </c>
      <c r="H1623" t="str">
        <f t="shared" si="75"/>
        <v>2026-08</v>
      </c>
      <c r="I1623">
        <v>3</v>
      </c>
    </row>
    <row r="1624" spans="1:9" x14ac:dyDescent="0.25">
      <c r="A1624" t="s">
        <v>1629</v>
      </c>
      <c r="B1624">
        <v>24097.25</v>
      </c>
      <c r="C1624">
        <v>24119</v>
      </c>
      <c r="D1624">
        <v>24095.3</v>
      </c>
      <c r="E1624">
        <v>24113.1</v>
      </c>
      <c r="F1624" s="2">
        <f t="shared" si="76"/>
        <v>23.700000000000728</v>
      </c>
      <c r="G1624" s="3">
        <f t="shared" si="77"/>
        <v>24.598459867673359</v>
      </c>
      <c r="H1624" t="str">
        <f t="shared" si="75"/>
        <v>2026-08</v>
      </c>
      <c r="I1624">
        <v>3</v>
      </c>
    </row>
    <row r="1625" spans="1:9" x14ac:dyDescent="0.25">
      <c r="A1625" t="s">
        <v>1630</v>
      </c>
      <c r="B1625">
        <v>24114.25</v>
      </c>
      <c r="C1625">
        <v>24114.6</v>
      </c>
      <c r="D1625">
        <v>24097.45</v>
      </c>
      <c r="E1625">
        <v>24110.85</v>
      </c>
      <c r="F1625" s="2">
        <f t="shared" si="76"/>
        <v>17.149999999997817</v>
      </c>
      <c r="G1625" s="3">
        <f t="shared" si="77"/>
        <v>24.06642701998225</v>
      </c>
      <c r="H1625" t="str">
        <f t="shared" si="75"/>
        <v>2026-08</v>
      </c>
      <c r="I1625">
        <v>3</v>
      </c>
    </row>
    <row r="1626" spans="1:9" x14ac:dyDescent="0.25">
      <c r="A1626" t="s">
        <v>1631</v>
      </c>
      <c r="B1626">
        <v>24111.9</v>
      </c>
      <c r="C1626">
        <v>24113.35</v>
      </c>
      <c r="D1626">
        <v>24098.55</v>
      </c>
      <c r="E1626">
        <v>24110.799999999999</v>
      </c>
      <c r="F1626" s="2">
        <f t="shared" si="76"/>
        <v>14.799999999999272</v>
      </c>
      <c r="G1626" s="3">
        <f t="shared" si="77"/>
        <v>23.404539375697748</v>
      </c>
      <c r="H1626" t="str">
        <f t="shared" si="75"/>
        <v>2026-08</v>
      </c>
      <c r="I1626">
        <v>3</v>
      </c>
    </row>
    <row r="1627" spans="1:9" x14ac:dyDescent="0.25">
      <c r="A1627" t="s">
        <v>1632</v>
      </c>
      <c r="B1627">
        <v>24111.9</v>
      </c>
      <c r="C1627">
        <v>24121.3</v>
      </c>
      <c r="D1627">
        <v>24107.15</v>
      </c>
      <c r="E1627">
        <v>24120.35</v>
      </c>
      <c r="F1627" s="2">
        <f t="shared" si="76"/>
        <v>14.149999999997817</v>
      </c>
      <c r="G1627" s="3">
        <f t="shared" si="77"/>
        <v>22.743500848862038</v>
      </c>
      <c r="H1627" t="str">
        <f t="shared" si="75"/>
        <v>2026-08</v>
      </c>
      <c r="I1627">
        <v>3</v>
      </c>
    </row>
    <row r="1628" spans="1:9" x14ac:dyDescent="0.25">
      <c r="A1628" t="s">
        <v>1633</v>
      </c>
      <c r="B1628">
        <v>24120.45</v>
      </c>
      <c r="C1628">
        <v>24123.8</v>
      </c>
      <c r="D1628">
        <v>24113.1</v>
      </c>
      <c r="E1628">
        <v>24118.1</v>
      </c>
      <c r="F1628" s="2">
        <f t="shared" si="76"/>
        <v>10.700000000000728</v>
      </c>
      <c r="G1628" s="3">
        <f t="shared" si="77"/>
        <v>21.883250788229084</v>
      </c>
      <c r="H1628" t="str">
        <f t="shared" si="75"/>
        <v>2026-08</v>
      </c>
      <c r="I1628">
        <v>3</v>
      </c>
    </row>
    <row r="1629" spans="1:9" x14ac:dyDescent="0.25">
      <c r="A1629" t="s">
        <v>1634</v>
      </c>
      <c r="B1629">
        <v>24119</v>
      </c>
      <c r="C1629">
        <v>24140.75</v>
      </c>
      <c r="D1629">
        <v>24113.5</v>
      </c>
      <c r="E1629">
        <v>24129.45</v>
      </c>
      <c r="F1629" s="2">
        <f t="shared" si="76"/>
        <v>27.25</v>
      </c>
      <c r="G1629" s="3">
        <f t="shared" si="77"/>
        <v>22.266590017641295</v>
      </c>
      <c r="H1629" t="str">
        <f t="shared" si="75"/>
        <v>2026-08</v>
      </c>
      <c r="I1629">
        <v>3</v>
      </c>
    </row>
    <row r="1630" spans="1:9" x14ac:dyDescent="0.25">
      <c r="A1630" t="s">
        <v>1635</v>
      </c>
      <c r="B1630">
        <v>24128.45</v>
      </c>
      <c r="C1630">
        <v>24159.1</v>
      </c>
      <c r="D1630">
        <v>24104.9</v>
      </c>
      <c r="E1630">
        <v>24142.95</v>
      </c>
      <c r="F1630" s="2">
        <f t="shared" si="76"/>
        <v>54.19999999999709</v>
      </c>
      <c r="G1630" s="3">
        <f t="shared" si="77"/>
        <v>24.547547873523854</v>
      </c>
      <c r="H1630" t="str">
        <f t="shared" si="75"/>
        <v>2026-08</v>
      </c>
      <c r="I1630">
        <v>3</v>
      </c>
    </row>
    <row r="1631" spans="1:9" x14ac:dyDescent="0.25">
      <c r="A1631" t="s">
        <v>1636</v>
      </c>
      <c r="B1631">
        <v>24120.75</v>
      </c>
      <c r="C1631">
        <v>24128.7</v>
      </c>
      <c r="D1631">
        <v>24036.2</v>
      </c>
      <c r="E1631">
        <v>24043.05</v>
      </c>
      <c r="F1631" s="2">
        <f t="shared" si="76"/>
        <v>106.75</v>
      </c>
      <c r="G1631" s="3">
        <f t="shared" si="77"/>
        <v>30.41915159684358</v>
      </c>
      <c r="H1631" t="str">
        <f t="shared" si="75"/>
        <v>2026-08</v>
      </c>
      <c r="I1631">
        <v>3</v>
      </c>
    </row>
    <row r="1632" spans="1:9" x14ac:dyDescent="0.25">
      <c r="A1632" t="s">
        <v>1637</v>
      </c>
      <c r="B1632">
        <v>24045.5</v>
      </c>
      <c r="C1632">
        <v>24067.4</v>
      </c>
      <c r="D1632">
        <v>24024.25</v>
      </c>
      <c r="E1632">
        <v>24024.6</v>
      </c>
      <c r="F1632" s="2">
        <f t="shared" si="76"/>
        <v>43.150000000001455</v>
      </c>
      <c r="G1632" s="3">
        <f t="shared" si="77"/>
        <v>31.328497911354855</v>
      </c>
      <c r="H1632" t="str">
        <f t="shared" si="75"/>
        <v>2026-08</v>
      </c>
      <c r="I1632">
        <v>3</v>
      </c>
    </row>
    <row r="1633" spans="1:9" x14ac:dyDescent="0.25">
      <c r="A1633" t="s">
        <v>1638</v>
      </c>
      <c r="B1633">
        <v>24026.65</v>
      </c>
      <c r="C1633">
        <v>24038.400000000001</v>
      </c>
      <c r="D1633">
        <v>24013.15</v>
      </c>
      <c r="E1633">
        <v>24025.5</v>
      </c>
      <c r="F1633" s="2">
        <f t="shared" si="76"/>
        <v>25.25</v>
      </c>
      <c r="G1633" s="3">
        <f t="shared" si="77"/>
        <v>30.894319489115222</v>
      </c>
      <c r="H1633" t="str">
        <f t="shared" si="75"/>
        <v>2026-08</v>
      </c>
      <c r="I1633">
        <v>3</v>
      </c>
    </row>
    <row r="1634" spans="1:9" x14ac:dyDescent="0.25">
      <c r="A1634" t="s">
        <v>1639</v>
      </c>
      <c r="B1634">
        <v>24027.65</v>
      </c>
      <c r="C1634">
        <v>24043.35</v>
      </c>
      <c r="D1634">
        <v>24009.8</v>
      </c>
      <c r="E1634">
        <v>24017.85</v>
      </c>
      <c r="F1634" s="2">
        <f t="shared" si="76"/>
        <v>33.549999999999272</v>
      </c>
      <c r="G1634" s="3">
        <f t="shared" si="77"/>
        <v>31.084010954178371</v>
      </c>
      <c r="H1634" t="str">
        <f t="shared" si="75"/>
        <v>2026-08</v>
      </c>
      <c r="I1634">
        <v>3</v>
      </c>
    </row>
    <row r="1635" spans="1:9" x14ac:dyDescent="0.25">
      <c r="A1635" t="s">
        <v>1640</v>
      </c>
      <c r="B1635">
        <v>24018.7</v>
      </c>
      <c r="C1635">
        <v>24033.3</v>
      </c>
      <c r="D1635">
        <v>24004.7</v>
      </c>
      <c r="E1635">
        <v>24028.85</v>
      </c>
      <c r="F1635" s="2">
        <f t="shared" si="76"/>
        <v>28.599999999998545</v>
      </c>
      <c r="G1635" s="3">
        <f t="shared" si="77"/>
        <v>30.906581600308385</v>
      </c>
      <c r="H1635" t="str">
        <f t="shared" si="75"/>
        <v>2026-08</v>
      </c>
      <c r="I1635">
        <v>3</v>
      </c>
    </row>
    <row r="1636" spans="1:9" x14ac:dyDescent="0.25">
      <c r="A1636" t="s">
        <v>1641</v>
      </c>
      <c r="B1636">
        <v>24029.65</v>
      </c>
      <c r="C1636">
        <v>24032.1</v>
      </c>
      <c r="D1636">
        <v>23997.45</v>
      </c>
      <c r="E1636">
        <v>24010.65</v>
      </c>
      <c r="F1636" s="2">
        <f t="shared" si="76"/>
        <v>34.649999999997817</v>
      </c>
      <c r="G1636" s="3">
        <f t="shared" si="77"/>
        <v>31.173968628857633</v>
      </c>
      <c r="H1636" t="str">
        <f t="shared" si="75"/>
        <v>2026-08</v>
      </c>
      <c r="I1636">
        <v>3</v>
      </c>
    </row>
    <row r="1637" spans="1:9" x14ac:dyDescent="0.25">
      <c r="A1637" t="s">
        <v>1642</v>
      </c>
      <c r="B1637">
        <v>24012.25</v>
      </c>
      <c r="C1637">
        <v>24015.8</v>
      </c>
      <c r="D1637">
        <v>23997.1</v>
      </c>
      <c r="E1637">
        <v>24010.3</v>
      </c>
      <c r="F1637" s="2">
        <f t="shared" si="76"/>
        <v>18.700000000000728</v>
      </c>
      <c r="G1637" s="3">
        <f t="shared" si="77"/>
        <v>30.282970869653571</v>
      </c>
      <c r="H1637" t="str">
        <f t="shared" si="75"/>
        <v>2026-08</v>
      </c>
      <c r="I1637">
        <v>3</v>
      </c>
    </row>
    <row r="1638" spans="1:9" x14ac:dyDescent="0.25">
      <c r="A1638" t="s">
        <v>1643</v>
      </c>
      <c r="B1638">
        <v>24012.65</v>
      </c>
      <c r="C1638">
        <v>24017.200000000001</v>
      </c>
      <c r="D1638">
        <v>23993.599999999999</v>
      </c>
      <c r="E1638">
        <v>24001.599999999999</v>
      </c>
      <c r="F1638" s="2">
        <f t="shared" si="76"/>
        <v>23.600000000002183</v>
      </c>
      <c r="G1638" s="3">
        <f t="shared" si="77"/>
        <v>29.805615807535617</v>
      </c>
      <c r="H1638" t="str">
        <f t="shared" si="75"/>
        <v>2026-08</v>
      </c>
      <c r="I1638">
        <v>3</v>
      </c>
    </row>
    <row r="1639" spans="1:9" x14ac:dyDescent="0.25">
      <c r="A1639" t="s">
        <v>1644</v>
      </c>
      <c r="B1639">
        <v>24003.3</v>
      </c>
      <c r="C1639">
        <v>24010.85</v>
      </c>
      <c r="D1639">
        <v>24000.25</v>
      </c>
      <c r="E1639">
        <v>24009.75</v>
      </c>
      <c r="F1639" s="2">
        <f t="shared" si="76"/>
        <v>10.599999999998545</v>
      </c>
      <c r="G1639" s="3">
        <f t="shared" si="77"/>
        <v>28.433786106997253</v>
      </c>
      <c r="H1639" t="str">
        <f t="shared" si="75"/>
        <v>2026-08</v>
      </c>
      <c r="I1639">
        <v>3</v>
      </c>
    </row>
    <row r="1640" spans="1:9" x14ac:dyDescent="0.25">
      <c r="A1640" t="s">
        <v>1645</v>
      </c>
      <c r="B1640">
        <v>24011.25</v>
      </c>
      <c r="C1640">
        <v>24031.35</v>
      </c>
      <c r="D1640">
        <v>24008.400000000001</v>
      </c>
      <c r="E1640">
        <v>24024.85</v>
      </c>
      <c r="F1640" s="2">
        <f t="shared" si="76"/>
        <v>22.94999999999709</v>
      </c>
      <c r="G1640" s="3">
        <f t="shared" si="77"/>
        <v>28.042087099354383</v>
      </c>
      <c r="H1640" t="str">
        <f t="shared" si="75"/>
        <v>2026-08</v>
      </c>
      <c r="I1640">
        <v>3</v>
      </c>
    </row>
    <row r="1641" spans="1:9" x14ac:dyDescent="0.25">
      <c r="A1641" t="s">
        <v>1646</v>
      </c>
      <c r="B1641">
        <v>24027</v>
      </c>
      <c r="C1641">
        <v>24088.7</v>
      </c>
      <c r="D1641">
        <v>24018.799999999999</v>
      </c>
      <c r="E1641">
        <v>24063.9</v>
      </c>
      <c r="F1641" s="2">
        <f t="shared" si="76"/>
        <v>69.900000000001455</v>
      </c>
      <c r="G1641" s="3">
        <f t="shared" si="77"/>
        <v>31.031938020829177</v>
      </c>
      <c r="H1641" t="str">
        <f t="shared" si="75"/>
        <v>2026-08</v>
      </c>
      <c r="I1641">
        <v>3</v>
      </c>
    </row>
    <row r="1642" spans="1:9" x14ac:dyDescent="0.25">
      <c r="A1642" t="s">
        <v>1647</v>
      </c>
      <c r="B1642">
        <v>24067</v>
      </c>
      <c r="C1642">
        <v>24078.7</v>
      </c>
      <c r="D1642">
        <v>24053.5</v>
      </c>
      <c r="E1642">
        <v>24055.95</v>
      </c>
      <c r="F1642" s="2">
        <f t="shared" si="76"/>
        <v>25.200000000000728</v>
      </c>
      <c r="G1642" s="3">
        <f t="shared" si="77"/>
        <v>30.615371019341431</v>
      </c>
      <c r="H1642" t="str">
        <f t="shared" si="75"/>
        <v>2026-08</v>
      </c>
      <c r="I1642">
        <v>3</v>
      </c>
    </row>
    <row r="1643" spans="1:9" x14ac:dyDescent="0.25">
      <c r="A1643" t="s">
        <v>1648</v>
      </c>
      <c r="B1643">
        <v>24057.75</v>
      </c>
      <c r="C1643">
        <v>24080.2</v>
      </c>
      <c r="D1643">
        <v>24052.45</v>
      </c>
      <c r="E1643">
        <v>24064.2</v>
      </c>
      <c r="F1643" s="2">
        <f t="shared" si="76"/>
        <v>27.75</v>
      </c>
      <c r="G1643" s="3">
        <f t="shared" si="77"/>
        <v>30.410701660817043</v>
      </c>
      <c r="H1643" t="str">
        <f t="shared" si="75"/>
        <v>2026-08</v>
      </c>
      <c r="I1643">
        <v>3</v>
      </c>
    </row>
    <row r="1644" spans="1:9" x14ac:dyDescent="0.25">
      <c r="A1644" t="s">
        <v>1649</v>
      </c>
      <c r="B1644">
        <v>24066.25</v>
      </c>
      <c r="C1644">
        <v>24079.35</v>
      </c>
      <c r="D1644">
        <v>24054.05</v>
      </c>
      <c r="E1644">
        <v>24073.95</v>
      </c>
      <c r="F1644" s="2">
        <f t="shared" si="76"/>
        <v>25.299999999999272</v>
      </c>
      <c r="G1644" s="3">
        <f t="shared" si="77"/>
        <v>30.045651542187205</v>
      </c>
      <c r="H1644" t="str">
        <f t="shared" si="75"/>
        <v>2026-08</v>
      </c>
      <c r="I1644">
        <v>3</v>
      </c>
    </row>
    <row r="1645" spans="1:9" x14ac:dyDescent="0.25">
      <c r="A1645" t="s">
        <v>1650</v>
      </c>
      <c r="B1645">
        <v>24076.5</v>
      </c>
      <c r="C1645">
        <v>24079.05</v>
      </c>
      <c r="D1645">
        <v>24062.15</v>
      </c>
      <c r="E1645">
        <v>24062.15</v>
      </c>
      <c r="F1645" s="2">
        <f t="shared" si="76"/>
        <v>16.899999999997817</v>
      </c>
      <c r="G1645" s="3">
        <f t="shared" si="77"/>
        <v>29.10667643203082</v>
      </c>
      <c r="H1645" t="str">
        <f t="shared" si="75"/>
        <v>2026-08</v>
      </c>
      <c r="I1645">
        <v>3</v>
      </c>
    </row>
    <row r="1646" spans="1:9" x14ac:dyDescent="0.25">
      <c r="A1646" t="s">
        <v>1651</v>
      </c>
      <c r="B1646">
        <v>24064.85</v>
      </c>
      <c r="C1646">
        <v>24076.799999999999</v>
      </c>
      <c r="D1646">
        <v>24057.4</v>
      </c>
      <c r="E1646">
        <v>24074.15</v>
      </c>
      <c r="F1646" s="2">
        <f t="shared" si="76"/>
        <v>19.399999999997817</v>
      </c>
      <c r="G1646" s="3">
        <f t="shared" si="77"/>
        <v>28.41334240117132</v>
      </c>
      <c r="H1646" t="str">
        <f t="shared" si="75"/>
        <v>2026-08</v>
      </c>
      <c r="I1646">
        <v>3</v>
      </c>
    </row>
    <row r="1647" spans="1:9" x14ac:dyDescent="0.25">
      <c r="A1647" t="s">
        <v>1652</v>
      </c>
      <c r="B1647">
        <v>24076</v>
      </c>
      <c r="C1647">
        <v>24076.15</v>
      </c>
      <c r="D1647">
        <v>24063</v>
      </c>
      <c r="E1647">
        <v>24067.05</v>
      </c>
      <c r="F1647" s="2">
        <f t="shared" si="76"/>
        <v>13.150000000001455</v>
      </c>
      <c r="G1647" s="3">
        <f t="shared" si="77"/>
        <v>27.323103658230618</v>
      </c>
      <c r="H1647" t="str">
        <f t="shared" si="75"/>
        <v>2026-08</v>
      </c>
      <c r="I1647">
        <v>3</v>
      </c>
    </row>
    <row r="1648" spans="1:9" x14ac:dyDescent="0.25">
      <c r="A1648" t="s">
        <v>1653</v>
      </c>
      <c r="B1648">
        <v>24069.1</v>
      </c>
      <c r="C1648">
        <v>24073.7</v>
      </c>
      <c r="D1648">
        <v>24053.65</v>
      </c>
      <c r="E1648">
        <v>24055.05</v>
      </c>
      <c r="F1648" s="2">
        <f t="shared" si="76"/>
        <v>20.049999999999272</v>
      </c>
      <c r="G1648" s="3">
        <f t="shared" si="77"/>
        <v>26.803596254071238</v>
      </c>
      <c r="H1648" t="str">
        <f t="shared" si="75"/>
        <v>2026-08</v>
      </c>
      <c r="I1648">
        <v>3</v>
      </c>
    </row>
    <row r="1649" spans="1:9" x14ac:dyDescent="0.25">
      <c r="A1649" t="s">
        <v>1654</v>
      </c>
      <c r="B1649">
        <v>24058.15</v>
      </c>
      <c r="C1649">
        <v>24067.15</v>
      </c>
      <c r="D1649">
        <v>24043.200000000001</v>
      </c>
      <c r="E1649">
        <v>24047.05</v>
      </c>
      <c r="F1649" s="2">
        <f t="shared" si="76"/>
        <v>23.950000000000728</v>
      </c>
      <c r="G1649" s="3">
        <f t="shared" si="77"/>
        <v>26.59976795020906</v>
      </c>
      <c r="H1649" t="str">
        <f t="shared" si="75"/>
        <v>2026-08</v>
      </c>
      <c r="I1649">
        <v>3</v>
      </c>
    </row>
    <row r="1650" spans="1:9" x14ac:dyDescent="0.25">
      <c r="A1650" t="s">
        <v>1655</v>
      </c>
      <c r="B1650">
        <v>24049.05</v>
      </c>
      <c r="C1650">
        <v>24050.7</v>
      </c>
      <c r="D1650">
        <v>24024.799999999999</v>
      </c>
      <c r="E1650">
        <v>24031.55</v>
      </c>
      <c r="F1650" s="2">
        <f t="shared" si="76"/>
        <v>25.900000000001455</v>
      </c>
      <c r="G1650" s="3">
        <f t="shared" si="77"/>
        <v>26.549784525194234</v>
      </c>
      <c r="H1650" t="str">
        <f t="shared" si="75"/>
        <v>2026-08</v>
      </c>
      <c r="I1650">
        <v>3</v>
      </c>
    </row>
    <row r="1651" spans="1:9" x14ac:dyDescent="0.25">
      <c r="A1651" t="s">
        <v>1656</v>
      </c>
      <c r="B1651">
        <v>24033.5</v>
      </c>
      <c r="C1651">
        <v>24040.25</v>
      </c>
      <c r="D1651">
        <v>24020.6</v>
      </c>
      <c r="E1651">
        <v>24022.2</v>
      </c>
      <c r="F1651" s="2">
        <f t="shared" si="76"/>
        <v>19.650000000001455</v>
      </c>
      <c r="G1651" s="3">
        <f t="shared" si="77"/>
        <v>26.056942773394749</v>
      </c>
      <c r="H1651" t="str">
        <f t="shared" si="75"/>
        <v>2026-08</v>
      </c>
      <c r="I1651">
        <v>3</v>
      </c>
    </row>
    <row r="1652" spans="1:9" x14ac:dyDescent="0.25">
      <c r="A1652" t="s">
        <v>1657</v>
      </c>
      <c r="B1652">
        <v>24023.85</v>
      </c>
      <c r="C1652">
        <v>24063.599999999999</v>
      </c>
      <c r="D1652">
        <v>24020.5</v>
      </c>
      <c r="E1652">
        <v>24054.1</v>
      </c>
      <c r="F1652" s="2">
        <f t="shared" si="76"/>
        <v>43.099999999998545</v>
      </c>
      <c r="G1652" s="3">
        <f t="shared" si="77"/>
        <v>27.274304003866451</v>
      </c>
      <c r="H1652" t="str">
        <f t="shared" si="75"/>
        <v>2026-08</v>
      </c>
      <c r="I1652">
        <v>3</v>
      </c>
    </row>
    <row r="1653" spans="1:9" x14ac:dyDescent="0.25">
      <c r="A1653" t="s">
        <v>1658</v>
      </c>
      <c r="B1653">
        <v>24056.15</v>
      </c>
      <c r="C1653">
        <v>24114</v>
      </c>
      <c r="D1653">
        <v>24055.4</v>
      </c>
      <c r="E1653">
        <v>24075.200000000001</v>
      </c>
      <c r="F1653" s="2">
        <f t="shared" si="76"/>
        <v>59.900000000001455</v>
      </c>
      <c r="G1653" s="3">
        <f t="shared" si="77"/>
        <v>29.604710860733238</v>
      </c>
      <c r="H1653" t="str">
        <f t="shared" si="75"/>
        <v>2026-08</v>
      </c>
      <c r="I1653">
        <v>3</v>
      </c>
    </row>
    <row r="1654" spans="1:9" x14ac:dyDescent="0.25">
      <c r="A1654" t="s">
        <v>1659</v>
      </c>
      <c r="B1654">
        <v>24074.95</v>
      </c>
      <c r="C1654">
        <v>24074.95</v>
      </c>
      <c r="D1654">
        <v>24044.65</v>
      </c>
      <c r="E1654">
        <v>24051.95</v>
      </c>
      <c r="F1654" s="2">
        <f t="shared" si="76"/>
        <v>30.549999999999272</v>
      </c>
      <c r="G1654" s="3">
        <f t="shared" si="77"/>
        <v>29.672231513537955</v>
      </c>
      <c r="H1654" t="str">
        <f t="shared" si="75"/>
        <v>2026-08</v>
      </c>
      <c r="I1654">
        <v>3</v>
      </c>
    </row>
    <row r="1655" spans="1:9" x14ac:dyDescent="0.25">
      <c r="A1655" t="s">
        <v>1660</v>
      </c>
      <c r="B1655">
        <v>24078.9</v>
      </c>
      <c r="C1655">
        <v>24082.6</v>
      </c>
      <c r="D1655">
        <v>24027.8</v>
      </c>
      <c r="E1655">
        <v>24063.95</v>
      </c>
      <c r="F1655" s="2">
        <f t="shared" si="76"/>
        <v>54.799999999999272</v>
      </c>
      <c r="G1655" s="3">
        <f t="shared" si="77"/>
        <v>31.467072119713766</v>
      </c>
      <c r="H1655" t="str">
        <f t="shared" si="75"/>
        <v>2026-09</v>
      </c>
      <c r="I1655">
        <v>3</v>
      </c>
    </row>
    <row r="1656" spans="1:9" x14ac:dyDescent="0.25">
      <c r="A1656" t="s">
        <v>1661</v>
      </c>
      <c r="B1656">
        <v>24064.75</v>
      </c>
      <c r="C1656">
        <v>24076.65</v>
      </c>
      <c r="D1656">
        <v>24025.200000000001</v>
      </c>
      <c r="E1656">
        <v>24028.35</v>
      </c>
      <c r="F1656" s="2">
        <f t="shared" si="76"/>
        <v>51.450000000000728</v>
      </c>
      <c r="G1656" s="3">
        <f t="shared" si="77"/>
        <v>32.894424111162834</v>
      </c>
      <c r="H1656" t="str">
        <f t="shared" si="75"/>
        <v>2026-09</v>
      </c>
      <c r="I1656">
        <v>3</v>
      </c>
    </row>
    <row r="1657" spans="1:9" x14ac:dyDescent="0.25">
      <c r="A1657" t="s">
        <v>1662</v>
      </c>
      <c r="B1657">
        <v>24030.15</v>
      </c>
      <c r="C1657">
        <v>24031.35</v>
      </c>
      <c r="D1657">
        <v>24009.5</v>
      </c>
      <c r="E1657">
        <v>24018.25</v>
      </c>
      <c r="F1657" s="2">
        <f t="shared" si="76"/>
        <v>21.849999999998545</v>
      </c>
      <c r="G1657" s="3">
        <f t="shared" si="77"/>
        <v>32.105536674651098</v>
      </c>
      <c r="H1657" t="str">
        <f t="shared" si="75"/>
        <v>2026-09</v>
      </c>
      <c r="I1657">
        <v>3</v>
      </c>
    </row>
    <row r="1658" spans="1:9" x14ac:dyDescent="0.25">
      <c r="A1658" t="s">
        <v>1663</v>
      </c>
      <c r="B1658">
        <v>24019</v>
      </c>
      <c r="C1658">
        <v>24040.95</v>
      </c>
      <c r="D1658">
        <v>24015.05</v>
      </c>
      <c r="E1658">
        <v>24036.25</v>
      </c>
      <c r="F1658" s="2">
        <f t="shared" si="76"/>
        <v>25.900000000001455</v>
      </c>
      <c r="G1658" s="3">
        <f t="shared" si="77"/>
        <v>31.662284055033268</v>
      </c>
      <c r="H1658" t="str">
        <f t="shared" si="75"/>
        <v>2026-09</v>
      </c>
      <c r="I1658">
        <v>3</v>
      </c>
    </row>
    <row r="1659" spans="1:9" x14ac:dyDescent="0.25">
      <c r="A1659" t="s">
        <v>1664</v>
      </c>
      <c r="B1659">
        <v>24037.55</v>
      </c>
      <c r="C1659">
        <v>24066.25</v>
      </c>
      <c r="D1659">
        <v>24035.3</v>
      </c>
      <c r="E1659">
        <v>24061.05</v>
      </c>
      <c r="F1659" s="2">
        <f t="shared" si="76"/>
        <v>30.950000000000728</v>
      </c>
      <c r="G1659" s="3">
        <f t="shared" si="77"/>
        <v>31.611406622530946</v>
      </c>
      <c r="H1659" t="str">
        <f t="shared" si="75"/>
        <v>2026-09</v>
      </c>
      <c r="I1659">
        <v>3</v>
      </c>
    </row>
    <row r="1660" spans="1:9" x14ac:dyDescent="0.25">
      <c r="A1660" t="s">
        <v>1665</v>
      </c>
      <c r="B1660">
        <v>24062.799999999999</v>
      </c>
      <c r="C1660">
        <v>24073.200000000001</v>
      </c>
      <c r="D1660">
        <v>24058.6</v>
      </c>
      <c r="E1660">
        <v>24064.95</v>
      </c>
      <c r="F1660" s="2">
        <f t="shared" si="76"/>
        <v>14.600000000002183</v>
      </c>
      <c r="G1660" s="3">
        <f t="shared" si="77"/>
        <v>30.396306149493178</v>
      </c>
      <c r="H1660" t="str">
        <f t="shared" si="75"/>
        <v>2026-09</v>
      </c>
      <c r="I1660">
        <v>3</v>
      </c>
    </row>
    <row r="1661" spans="1:9" x14ac:dyDescent="0.25">
      <c r="A1661" t="s">
        <v>1666</v>
      </c>
      <c r="B1661">
        <v>24066</v>
      </c>
      <c r="C1661">
        <v>24092.65</v>
      </c>
      <c r="D1661">
        <v>24062.1</v>
      </c>
      <c r="E1661">
        <v>24082</v>
      </c>
      <c r="F1661" s="2">
        <f t="shared" si="76"/>
        <v>30.55000000000291</v>
      </c>
      <c r="G1661" s="3">
        <f t="shared" si="77"/>
        <v>30.407284281672446</v>
      </c>
      <c r="H1661" t="str">
        <f t="shared" si="75"/>
        <v>2026-09</v>
      </c>
      <c r="I1661">
        <v>3</v>
      </c>
    </row>
    <row r="1662" spans="1:9" x14ac:dyDescent="0.25">
      <c r="A1662" t="s">
        <v>1667</v>
      </c>
      <c r="B1662">
        <v>24083.65</v>
      </c>
      <c r="C1662">
        <v>24111.75</v>
      </c>
      <c r="D1662">
        <v>24072.400000000001</v>
      </c>
      <c r="E1662">
        <v>24107.05</v>
      </c>
      <c r="F1662" s="2">
        <f t="shared" si="76"/>
        <v>39.349999999998545</v>
      </c>
      <c r="G1662" s="3">
        <f t="shared" si="77"/>
        <v>31.04604969012431</v>
      </c>
      <c r="H1662" t="str">
        <f t="shared" si="75"/>
        <v>2026-09</v>
      </c>
      <c r="I1662">
        <v>3</v>
      </c>
    </row>
    <row r="1663" spans="1:9" x14ac:dyDescent="0.25">
      <c r="A1663" t="s">
        <v>1668</v>
      </c>
      <c r="B1663">
        <v>24108.75</v>
      </c>
      <c r="C1663">
        <v>24130.400000000001</v>
      </c>
      <c r="D1663">
        <v>24107</v>
      </c>
      <c r="E1663">
        <v>24126.3</v>
      </c>
      <c r="F1663" s="2">
        <f t="shared" si="76"/>
        <v>23.400000000001455</v>
      </c>
      <c r="G1663" s="3">
        <f t="shared" si="77"/>
        <v>30.499903283686962</v>
      </c>
      <c r="H1663" t="str">
        <f t="shared" si="75"/>
        <v>2026-09</v>
      </c>
      <c r="I1663">
        <v>3</v>
      </c>
    </row>
    <row r="1664" spans="1:9" x14ac:dyDescent="0.25">
      <c r="A1664" t="s">
        <v>1669</v>
      </c>
      <c r="B1664">
        <v>24127.9</v>
      </c>
      <c r="C1664">
        <v>24143.15</v>
      </c>
      <c r="D1664">
        <v>24104</v>
      </c>
      <c r="E1664">
        <v>24119</v>
      </c>
      <c r="F1664" s="2">
        <f t="shared" si="76"/>
        <v>39.150000000001455</v>
      </c>
      <c r="G1664" s="3">
        <f t="shared" si="77"/>
        <v>31.117767334852285</v>
      </c>
      <c r="H1664" t="str">
        <f t="shared" si="75"/>
        <v>2026-09</v>
      </c>
      <c r="I1664">
        <v>3</v>
      </c>
    </row>
    <row r="1665" spans="1:9" x14ac:dyDescent="0.25">
      <c r="A1665" t="s">
        <v>1670</v>
      </c>
      <c r="B1665">
        <v>24120</v>
      </c>
      <c r="C1665">
        <v>24125.4</v>
      </c>
      <c r="D1665">
        <v>24108.2</v>
      </c>
      <c r="E1665">
        <v>24116.7</v>
      </c>
      <c r="F1665" s="2">
        <f t="shared" si="76"/>
        <v>17.200000000000728</v>
      </c>
      <c r="G1665" s="3">
        <f t="shared" si="77"/>
        <v>30.123641096648605</v>
      </c>
      <c r="H1665" t="str">
        <f t="shared" si="75"/>
        <v>2026-09</v>
      </c>
      <c r="I1665">
        <v>3</v>
      </c>
    </row>
    <row r="1666" spans="1:9" x14ac:dyDescent="0.25">
      <c r="A1666" t="s">
        <v>1671</v>
      </c>
      <c r="B1666">
        <v>24118.65</v>
      </c>
      <c r="C1666">
        <v>24132.2</v>
      </c>
      <c r="D1666">
        <v>24110.6</v>
      </c>
      <c r="E1666">
        <v>24117.75</v>
      </c>
      <c r="F1666" s="2">
        <f t="shared" si="76"/>
        <v>21.600000000002183</v>
      </c>
      <c r="G1666" s="3">
        <f t="shared" si="77"/>
        <v>29.514809589745287</v>
      </c>
      <c r="H1666" t="str">
        <f t="shared" ref="H1666:H1729" si="78">LEFT(A1666,7)</f>
        <v>2026-09</v>
      </c>
      <c r="I1666">
        <v>3</v>
      </c>
    </row>
    <row r="1667" spans="1:9" x14ac:dyDescent="0.25">
      <c r="A1667" t="s">
        <v>1672</v>
      </c>
      <c r="B1667">
        <v>24118.5</v>
      </c>
      <c r="C1667">
        <v>24120.75</v>
      </c>
      <c r="D1667">
        <v>24094.65</v>
      </c>
      <c r="E1667">
        <v>24109.65</v>
      </c>
      <c r="F1667" s="2">
        <f t="shared" ref="F1667:F1730" si="79">MAX(C1667-D1667,ABS(C1667-E1666),ABS(D1667-E1666))</f>
        <v>26.099999999998545</v>
      </c>
      <c r="G1667" s="3">
        <f t="shared" si="77"/>
        <v>29.270894619049091</v>
      </c>
      <c r="H1667" t="str">
        <f t="shared" si="78"/>
        <v>2026-09</v>
      </c>
      <c r="I1667">
        <v>3</v>
      </c>
    </row>
    <row r="1668" spans="1:9" x14ac:dyDescent="0.25">
      <c r="A1668" t="s">
        <v>1673</v>
      </c>
      <c r="B1668">
        <v>24110.9</v>
      </c>
      <c r="C1668">
        <v>24117.35</v>
      </c>
      <c r="D1668">
        <v>24102.75</v>
      </c>
      <c r="E1668">
        <v>24115.15</v>
      </c>
      <c r="F1668" s="2">
        <f t="shared" si="79"/>
        <v>14.599999999998545</v>
      </c>
      <c r="G1668" s="3">
        <f t="shared" si="77"/>
        <v>28.222973574831197</v>
      </c>
      <c r="H1668" t="str">
        <f t="shared" si="78"/>
        <v>2026-09</v>
      </c>
      <c r="I1668">
        <v>3</v>
      </c>
    </row>
    <row r="1669" spans="1:9" x14ac:dyDescent="0.25">
      <c r="A1669" t="s">
        <v>1674</v>
      </c>
      <c r="B1669">
        <v>24116.5</v>
      </c>
      <c r="C1669">
        <v>24118.7</v>
      </c>
      <c r="D1669">
        <v>24087.45</v>
      </c>
      <c r="E1669">
        <v>24092.25</v>
      </c>
      <c r="F1669" s="2">
        <f t="shared" si="79"/>
        <v>31.25</v>
      </c>
      <c r="G1669" s="3">
        <f t="shared" si="77"/>
        <v>28.43918974805754</v>
      </c>
      <c r="H1669" t="str">
        <f t="shared" si="78"/>
        <v>2026-09</v>
      </c>
      <c r="I1669">
        <v>3</v>
      </c>
    </row>
    <row r="1670" spans="1:9" x14ac:dyDescent="0.25">
      <c r="A1670" t="s">
        <v>1675</v>
      </c>
      <c r="B1670">
        <v>24094.05</v>
      </c>
      <c r="C1670">
        <v>24094.1</v>
      </c>
      <c r="D1670">
        <v>24049.8</v>
      </c>
      <c r="E1670">
        <v>24050.2</v>
      </c>
      <c r="F1670" s="2">
        <f t="shared" si="79"/>
        <v>44.299999999999272</v>
      </c>
      <c r="G1670" s="3">
        <f t="shared" si="77"/>
        <v>29.572104766053378</v>
      </c>
      <c r="H1670" t="str">
        <f t="shared" si="78"/>
        <v>2026-09</v>
      </c>
      <c r="I1670">
        <v>3</v>
      </c>
    </row>
    <row r="1671" spans="1:9" x14ac:dyDescent="0.25">
      <c r="A1671" t="s">
        <v>1676</v>
      </c>
      <c r="B1671">
        <v>24050.75</v>
      </c>
      <c r="C1671">
        <v>24060.25</v>
      </c>
      <c r="D1671">
        <v>24041.8</v>
      </c>
      <c r="E1671">
        <v>24049.8</v>
      </c>
      <c r="F1671" s="2">
        <f t="shared" si="79"/>
        <v>18.450000000000728</v>
      </c>
      <c r="G1671" s="3">
        <f t="shared" si="77"/>
        <v>28.777668711335334</v>
      </c>
      <c r="H1671" t="str">
        <f t="shared" si="78"/>
        <v>2026-09</v>
      </c>
      <c r="I1671">
        <v>3</v>
      </c>
    </row>
    <row r="1672" spans="1:9" x14ac:dyDescent="0.25">
      <c r="A1672" t="s">
        <v>1677</v>
      </c>
      <c r="B1672">
        <v>24051.45</v>
      </c>
      <c r="C1672">
        <v>24065.65</v>
      </c>
      <c r="D1672">
        <v>24021.200000000001</v>
      </c>
      <c r="E1672">
        <v>24034.2</v>
      </c>
      <c r="F1672" s="2">
        <f t="shared" si="79"/>
        <v>44.450000000000728</v>
      </c>
      <c r="G1672" s="3">
        <f t="shared" si="77"/>
        <v>29.897120946240005</v>
      </c>
      <c r="H1672" t="str">
        <f t="shared" si="78"/>
        <v>2026-09</v>
      </c>
      <c r="I1672">
        <v>3</v>
      </c>
    </row>
    <row r="1673" spans="1:9" x14ac:dyDescent="0.25">
      <c r="A1673" t="s">
        <v>1678</v>
      </c>
      <c r="B1673">
        <v>24034.9</v>
      </c>
      <c r="C1673">
        <v>24034.95</v>
      </c>
      <c r="D1673">
        <v>23987.85</v>
      </c>
      <c r="E1673">
        <v>24000.15</v>
      </c>
      <c r="F1673" s="2">
        <f t="shared" si="79"/>
        <v>47.100000000002183</v>
      </c>
      <c r="G1673" s="3">
        <f t="shared" si="77"/>
        <v>31.125898021508732</v>
      </c>
      <c r="H1673" t="str">
        <f t="shared" si="78"/>
        <v>2026-09</v>
      </c>
      <c r="I1673">
        <v>3</v>
      </c>
    </row>
    <row r="1674" spans="1:9" x14ac:dyDescent="0.25">
      <c r="A1674" t="s">
        <v>1679</v>
      </c>
      <c r="B1674">
        <v>24001.8</v>
      </c>
      <c r="C1674">
        <v>24001.8</v>
      </c>
      <c r="D1674">
        <v>23953.55</v>
      </c>
      <c r="E1674">
        <v>23965.05</v>
      </c>
      <c r="F1674" s="2">
        <f t="shared" si="79"/>
        <v>48.25</v>
      </c>
      <c r="G1674" s="3">
        <f t="shared" si="77"/>
        <v>32.34904816282954</v>
      </c>
      <c r="H1674" t="str">
        <f t="shared" si="78"/>
        <v>2026-09</v>
      </c>
      <c r="I1674">
        <v>3</v>
      </c>
    </row>
    <row r="1675" spans="1:9" x14ac:dyDescent="0.25">
      <c r="A1675" t="s">
        <v>1680</v>
      </c>
      <c r="B1675">
        <v>23967.25</v>
      </c>
      <c r="C1675">
        <v>23982.25</v>
      </c>
      <c r="D1675">
        <v>23952.55</v>
      </c>
      <c r="E1675">
        <v>23981.599999999999</v>
      </c>
      <c r="F1675" s="2">
        <f t="shared" si="79"/>
        <v>29.700000000000728</v>
      </c>
      <c r="G1675" s="3">
        <f t="shared" si="77"/>
        <v>32.159830436913197</v>
      </c>
      <c r="H1675" t="str">
        <f t="shared" si="78"/>
        <v>2026-09</v>
      </c>
      <c r="I1675">
        <v>3</v>
      </c>
    </row>
    <row r="1676" spans="1:9" x14ac:dyDescent="0.25">
      <c r="A1676" t="s">
        <v>1681</v>
      </c>
      <c r="B1676">
        <v>23982.45</v>
      </c>
      <c r="C1676">
        <v>23989.7</v>
      </c>
      <c r="D1676">
        <v>23958.400000000001</v>
      </c>
      <c r="E1676">
        <v>23961.95</v>
      </c>
      <c r="F1676" s="2">
        <f t="shared" si="79"/>
        <v>31.299999999999272</v>
      </c>
      <c r="G1676" s="3">
        <f t="shared" si="77"/>
        <v>32.098413977133632</v>
      </c>
      <c r="H1676" t="str">
        <f t="shared" si="78"/>
        <v>2026-09</v>
      </c>
      <c r="I1676">
        <v>3</v>
      </c>
    </row>
    <row r="1677" spans="1:9" x14ac:dyDescent="0.25">
      <c r="A1677" t="s">
        <v>1682</v>
      </c>
      <c r="B1677">
        <v>23963.7</v>
      </c>
      <c r="C1677">
        <v>23993.35</v>
      </c>
      <c r="D1677">
        <v>23960.6</v>
      </c>
      <c r="E1677">
        <v>23980.5</v>
      </c>
      <c r="F1677" s="2">
        <f t="shared" si="79"/>
        <v>32.75</v>
      </c>
      <c r="G1677" s="3">
        <f t="shared" si="77"/>
        <v>32.144955835909805</v>
      </c>
      <c r="H1677" t="str">
        <f t="shared" si="78"/>
        <v>2026-09</v>
      </c>
      <c r="I1677">
        <v>3</v>
      </c>
    </row>
    <row r="1678" spans="1:9" x14ac:dyDescent="0.25">
      <c r="A1678" t="s">
        <v>1683</v>
      </c>
      <c r="B1678">
        <v>23980.799999999999</v>
      </c>
      <c r="C1678">
        <v>23990.25</v>
      </c>
      <c r="D1678">
        <v>23959.15</v>
      </c>
      <c r="E1678">
        <v>23984.45</v>
      </c>
      <c r="F1678" s="2">
        <f t="shared" si="79"/>
        <v>31.099999999998545</v>
      </c>
      <c r="G1678" s="3">
        <f t="shared" si="77"/>
        <v>32.070316133344718</v>
      </c>
      <c r="H1678" t="str">
        <f t="shared" si="78"/>
        <v>2026-09</v>
      </c>
      <c r="I1678">
        <v>3</v>
      </c>
    </row>
    <row r="1679" spans="1:9" x14ac:dyDescent="0.25">
      <c r="A1679" t="s">
        <v>1684</v>
      </c>
      <c r="B1679">
        <v>23880</v>
      </c>
      <c r="C1679">
        <v>23882.95</v>
      </c>
      <c r="D1679">
        <v>23786.799999999999</v>
      </c>
      <c r="E1679">
        <v>23821.7</v>
      </c>
      <c r="F1679" s="2">
        <f t="shared" si="79"/>
        <v>197.65000000000146</v>
      </c>
      <c r="G1679" s="3">
        <f t="shared" si="77"/>
        <v>43.897436409534485</v>
      </c>
      <c r="H1679" t="str">
        <f t="shared" si="78"/>
        <v>2026-09</v>
      </c>
      <c r="I1679">
        <v>3</v>
      </c>
    </row>
    <row r="1680" spans="1:9" x14ac:dyDescent="0.25">
      <c r="A1680" t="s">
        <v>1685</v>
      </c>
      <c r="B1680">
        <v>23822.55</v>
      </c>
      <c r="C1680">
        <v>23849.95</v>
      </c>
      <c r="D1680">
        <v>23813.4</v>
      </c>
      <c r="E1680">
        <v>23841.599999999999</v>
      </c>
      <c r="F1680" s="2">
        <f t="shared" si="79"/>
        <v>36.549999999999272</v>
      </c>
      <c r="G1680" s="3">
        <f t="shared" ref="G1680:G1743" si="80">(G1679*13+F1680)/14</f>
        <v>43.372619523139115</v>
      </c>
      <c r="H1680" t="str">
        <f t="shared" si="78"/>
        <v>2026-09</v>
      </c>
      <c r="I1680">
        <v>3</v>
      </c>
    </row>
    <row r="1681" spans="1:9" x14ac:dyDescent="0.25">
      <c r="A1681" t="s">
        <v>1686</v>
      </c>
      <c r="B1681">
        <v>23842</v>
      </c>
      <c r="C1681">
        <v>23855.9</v>
      </c>
      <c r="D1681">
        <v>23821.55</v>
      </c>
      <c r="E1681">
        <v>23851</v>
      </c>
      <c r="F1681" s="2">
        <f t="shared" si="79"/>
        <v>34.350000000002183</v>
      </c>
      <c r="G1681" s="3">
        <f t="shared" si="80"/>
        <v>42.728146700057906</v>
      </c>
      <c r="H1681" t="str">
        <f t="shared" si="78"/>
        <v>2026-09</v>
      </c>
      <c r="I1681">
        <v>3</v>
      </c>
    </row>
    <row r="1682" spans="1:9" x14ac:dyDescent="0.25">
      <c r="A1682" t="s">
        <v>1687</v>
      </c>
      <c r="B1682">
        <v>23851.200000000001</v>
      </c>
      <c r="C1682">
        <v>23862.2</v>
      </c>
      <c r="D1682">
        <v>23839.9</v>
      </c>
      <c r="E1682">
        <v>23848.3</v>
      </c>
      <c r="F1682" s="2">
        <f t="shared" si="79"/>
        <v>22.299999999999272</v>
      </c>
      <c r="G1682" s="3">
        <f t="shared" si="80"/>
        <v>41.268993364339437</v>
      </c>
      <c r="H1682" t="str">
        <f t="shared" si="78"/>
        <v>2026-09</v>
      </c>
      <c r="I1682">
        <v>3</v>
      </c>
    </row>
    <row r="1683" spans="1:9" x14ac:dyDescent="0.25">
      <c r="A1683" t="s">
        <v>1688</v>
      </c>
      <c r="B1683">
        <v>23848.05</v>
      </c>
      <c r="C1683">
        <v>23883.599999999999</v>
      </c>
      <c r="D1683">
        <v>23844.75</v>
      </c>
      <c r="E1683">
        <v>23882.75</v>
      </c>
      <c r="F1683" s="2">
        <f t="shared" si="79"/>
        <v>38.849999999998545</v>
      </c>
      <c r="G1683" s="3">
        <f t="shared" si="80"/>
        <v>41.096208124029374</v>
      </c>
      <c r="H1683" t="str">
        <f t="shared" si="78"/>
        <v>2026-09</v>
      </c>
      <c r="I1683">
        <v>3</v>
      </c>
    </row>
    <row r="1684" spans="1:9" x14ac:dyDescent="0.25">
      <c r="A1684" t="s">
        <v>1689</v>
      </c>
      <c r="B1684">
        <v>23882.6</v>
      </c>
      <c r="C1684">
        <v>23896.05</v>
      </c>
      <c r="D1684">
        <v>23860.05</v>
      </c>
      <c r="E1684">
        <v>23860.65</v>
      </c>
      <c r="F1684" s="2">
        <f t="shared" si="79"/>
        <v>36</v>
      </c>
      <c r="G1684" s="3">
        <f t="shared" si="80"/>
        <v>40.732193258027273</v>
      </c>
      <c r="H1684" t="str">
        <f t="shared" si="78"/>
        <v>2026-09</v>
      </c>
      <c r="I1684">
        <v>3</v>
      </c>
    </row>
    <row r="1685" spans="1:9" x14ac:dyDescent="0.25">
      <c r="A1685" t="s">
        <v>1690</v>
      </c>
      <c r="B1685">
        <v>23861.25</v>
      </c>
      <c r="C1685">
        <v>23871.55</v>
      </c>
      <c r="D1685">
        <v>23840.6</v>
      </c>
      <c r="E1685">
        <v>23859.95</v>
      </c>
      <c r="F1685" s="2">
        <f t="shared" si="79"/>
        <v>30.950000000000728</v>
      </c>
      <c r="G1685" s="3">
        <f t="shared" si="80"/>
        <v>40.033465168168235</v>
      </c>
      <c r="H1685" t="str">
        <f t="shared" si="78"/>
        <v>2026-09</v>
      </c>
      <c r="I1685">
        <v>3</v>
      </c>
    </row>
    <row r="1686" spans="1:9" x14ac:dyDescent="0.25">
      <c r="A1686" t="s">
        <v>1691</v>
      </c>
      <c r="B1686">
        <v>23859.8</v>
      </c>
      <c r="C1686">
        <v>23862.05</v>
      </c>
      <c r="D1686">
        <v>23826.15</v>
      </c>
      <c r="E1686">
        <v>23832.35</v>
      </c>
      <c r="F1686" s="2">
        <f t="shared" si="79"/>
        <v>35.899999999997817</v>
      </c>
      <c r="G1686" s="3">
        <f t="shared" si="80"/>
        <v>39.73821765615606</v>
      </c>
      <c r="H1686" t="str">
        <f t="shared" si="78"/>
        <v>2026-09</v>
      </c>
      <c r="I1686">
        <v>3</v>
      </c>
    </row>
    <row r="1687" spans="1:9" x14ac:dyDescent="0.25">
      <c r="A1687" t="s">
        <v>1692</v>
      </c>
      <c r="B1687">
        <v>23832.1</v>
      </c>
      <c r="C1687">
        <v>23840.9</v>
      </c>
      <c r="D1687">
        <v>23818.5</v>
      </c>
      <c r="E1687">
        <v>23819.599999999999</v>
      </c>
      <c r="F1687" s="2">
        <f t="shared" si="79"/>
        <v>22.400000000001455</v>
      </c>
      <c r="G1687" s="3">
        <f t="shared" si="80"/>
        <v>38.499773537859305</v>
      </c>
      <c r="H1687" t="str">
        <f t="shared" si="78"/>
        <v>2026-09</v>
      </c>
      <c r="I1687">
        <v>3</v>
      </c>
    </row>
    <row r="1688" spans="1:9" x14ac:dyDescent="0.25">
      <c r="A1688" t="s">
        <v>1693</v>
      </c>
      <c r="B1688">
        <v>23819</v>
      </c>
      <c r="C1688">
        <v>23821.9</v>
      </c>
      <c r="D1688">
        <v>23807.1</v>
      </c>
      <c r="E1688">
        <v>23810.7</v>
      </c>
      <c r="F1688" s="2">
        <f t="shared" si="79"/>
        <v>14.80000000000291</v>
      </c>
      <c r="G1688" s="3">
        <f t="shared" si="80"/>
        <v>36.806932570869563</v>
      </c>
      <c r="H1688" t="str">
        <f t="shared" si="78"/>
        <v>2026-09</v>
      </c>
      <c r="I1688">
        <v>3</v>
      </c>
    </row>
    <row r="1689" spans="1:9" x14ac:dyDescent="0.25">
      <c r="A1689" t="s">
        <v>1694</v>
      </c>
      <c r="B1689">
        <v>23811.95</v>
      </c>
      <c r="C1689">
        <v>23830.15</v>
      </c>
      <c r="D1689">
        <v>23806.05</v>
      </c>
      <c r="E1689">
        <v>23812.95</v>
      </c>
      <c r="F1689" s="2">
        <f t="shared" si="79"/>
        <v>24.100000000002183</v>
      </c>
      <c r="G1689" s="3">
        <f t="shared" si="80"/>
        <v>35.899294530093321</v>
      </c>
      <c r="H1689" t="str">
        <f t="shared" si="78"/>
        <v>2026-09</v>
      </c>
      <c r="I1689">
        <v>3</v>
      </c>
    </row>
    <row r="1690" spans="1:9" x14ac:dyDescent="0.25">
      <c r="A1690" t="s">
        <v>1695</v>
      </c>
      <c r="B1690">
        <v>23814.799999999999</v>
      </c>
      <c r="C1690">
        <v>23839.4</v>
      </c>
      <c r="D1690">
        <v>23801.1</v>
      </c>
      <c r="E1690">
        <v>23838.35</v>
      </c>
      <c r="F1690" s="2">
        <f t="shared" si="79"/>
        <v>38.30000000000291</v>
      </c>
      <c r="G1690" s="3">
        <f t="shared" si="80"/>
        <v>36.070773492229719</v>
      </c>
      <c r="H1690" t="str">
        <f t="shared" si="78"/>
        <v>2026-09</v>
      </c>
      <c r="I1690">
        <v>3</v>
      </c>
    </row>
    <row r="1691" spans="1:9" x14ac:dyDescent="0.25">
      <c r="A1691" t="s">
        <v>1696</v>
      </c>
      <c r="B1691">
        <v>23838.85</v>
      </c>
      <c r="C1691">
        <v>23843.4</v>
      </c>
      <c r="D1691">
        <v>23815.95</v>
      </c>
      <c r="E1691">
        <v>23836.25</v>
      </c>
      <c r="F1691" s="2">
        <f t="shared" si="79"/>
        <v>27.450000000000728</v>
      </c>
      <c r="G1691" s="3">
        <f t="shared" si="80"/>
        <v>35.455003957070502</v>
      </c>
      <c r="H1691" t="str">
        <f t="shared" si="78"/>
        <v>2026-09</v>
      </c>
      <c r="I1691">
        <v>3</v>
      </c>
    </row>
    <row r="1692" spans="1:9" x14ac:dyDescent="0.25">
      <c r="A1692" t="s">
        <v>1697</v>
      </c>
      <c r="B1692">
        <v>23836.2</v>
      </c>
      <c r="C1692">
        <v>23868.2</v>
      </c>
      <c r="D1692">
        <v>23834.3</v>
      </c>
      <c r="E1692">
        <v>23860.95</v>
      </c>
      <c r="F1692" s="2">
        <f t="shared" si="79"/>
        <v>33.900000000001455</v>
      </c>
      <c r="G1692" s="3">
        <f t="shared" si="80"/>
        <v>35.343932245851285</v>
      </c>
      <c r="H1692" t="str">
        <f t="shared" si="78"/>
        <v>2026-09</v>
      </c>
      <c r="I1692">
        <v>3</v>
      </c>
    </row>
    <row r="1693" spans="1:9" x14ac:dyDescent="0.25">
      <c r="A1693" t="s">
        <v>1698</v>
      </c>
      <c r="B1693">
        <v>23860.65</v>
      </c>
      <c r="C1693">
        <v>23870.55</v>
      </c>
      <c r="D1693">
        <v>23850.7</v>
      </c>
      <c r="E1693">
        <v>23869.7</v>
      </c>
      <c r="F1693" s="2">
        <f t="shared" si="79"/>
        <v>19.849999999998545</v>
      </c>
      <c r="G1693" s="3">
        <f t="shared" si="80"/>
        <v>34.237222799718943</v>
      </c>
      <c r="H1693" t="str">
        <f t="shared" si="78"/>
        <v>2026-09</v>
      </c>
      <c r="I1693">
        <v>3</v>
      </c>
    </row>
    <row r="1694" spans="1:9" x14ac:dyDescent="0.25">
      <c r="A1694" t="s">
        <v>1699</v>
      </c>
      <c r="B1694">
        <v>23869.95</v>
      </c>
      <c r="C1694">
        <v>23876.799999999999</v>
      </c>
      <c r="D1694">
        <v>23855.65</v>
      </c>
      <c r="E1694">
        <v>23873.85</v>
      </c>
      <c r="F1694" s="2">
        <f t="shared" si="79"/>
        <v>21.149999999997817</v>
      </c>
      <c r="G1694" s="3">
        <f t="shared" si="80"/>
        <v>33.302421171167431</v>
      </c>
      <c r="H1694" t="str">
        <f t="shared" si="78"/>
        <v>2026-09</v>
      </c>
      <c r="I1694">
        <v>3</v>
      </c>
    </row>
    <row r="1695" spans="1:9" x14ac:dyDescent="0.25">
      <c r="A1695" t="s">
        <v>1700</v>
      </c>
      <c r="B1695">
        <v>23874.2</v>
      </c>
      <c r="C1695">
        <v>23884.799999999999</v>
      </c>
      <c r="D1695">
        <v>23867.200000000001</v>
      </c>
      <c r="E1695">
        <v>23875.1</v>
      </c>
      <c r="F1695" s="2">
        <f t="shared" si="79"/>
        <v>17.599999999998545</v>
      </c>
      <c r="G1695" s="3">
        <f t="shared" si="80"/>
        <v>32.180819658941083</v>
      </c>
      <c r="H1695" t="str">
        <f t="shared" si="78"/>
        <v>2026-09</v>
      </c>
      <c r="I1695">
        <v>3</v>
      </c>
    </row>
    <row r="1696" spans="1:9" x14ac:dyDescent="0.25">
      <c r="A1696" t="s">
        <v>1701</v>
      </c>
      <c r="B1696">
        <v>23875.8</v>
      </c>
      <c r="C1696">
        <v>23888.1</v>
      </c>
      <c r="D1696">
        <v>23859.05</v>
      </c>
      <c r="E1696">
        <v>23868.65</v>
      </c>
      <c r="F1696" s="2">
        <f t="shared" si="79"/>
        <v>29.049999999999272</v>
      </c>
      <c r="G1696" s="3">
        <f t="shared" si="80"/>
        <v>31.957189683302381</v>
      </c>
      <c r="H1696" t="str">
        <f t="shared" si="78"/>
        <v>2026-09</v>
      </c>
      <c r="I1696">
        <v>3</v>
      </c>
    </row>
    <row r="1697" spans="1:9" x14ac:dyDescent="0.25">
      <c r="A1697" t="s">
        <v>1702</v>
      </c>
      <c r="B1697">
        <v>23868.400000000001</v>
      </c>
      <c r="C1697">
        <v>23878.3</v>
      </c>
      <c r="D1697">
        <v>23850.799999999999</v>
      </c>
      <c r="E1697">
        <v>23872</v>
      </c>
      <c r="F1697" s="2">
        <f t="shared" si="79"/>
        <v>27.5</v>
      </c>
      <c r="G1697" s="3">
        <f t="shared" si="80"/>
        <v>31.638818991637926</v>
      </c>
      <c r="H1697" t="str">
        <f t="shared" si="78"/>
        <v>2026-09</v>
      </c>
      <c r="I1697">
        <v>3</v>
      </c>
    </row>
    <row r="1698" spans="1:9" x14ac:dyDescent="0.25">
      <c r="A1698" t="s">
        <v>1703</v>
      </c>
      <c r="B1698">
        <v>23872.3</v>
      </c>
      <c r="C1698">
        <v>23895</v>
      </c>
      <c r="D1698">
        <v>23872</v>
      </c>
      <c r="E1698">
        <v>23885.25</v>
      </c>
      <c r="F1698" s="2">
        <f t="shared" si="79"/>
        <v>23</v>
      </c>
      <c r="G1698" s="3">
        <f t="shared" si="80"/>
        <v>31.021760492235217</v>
      </c>
      <c r="H1698" t="str">
        <f t="shared" si="78"/>
        <v>2026-09</v>
      </c>
      <c r="I1698">
        <v>3</v>
      </c>
    </row>
    <row r="1699" spans="1:9" x14ac:dyDescent="0.25">
      <c r="A1699" t="s">
        <v>1704</v>
      </c>
      <c r="B1699">
        <v>23885.75</v>
      </c>
      <c r="C1699">
        <v>23886.9</v>
      </c>
      <c r="D1699">
        <v>23871.8</v>
      </c>
      <c r="E1699">
        <v>23886.400000000001</v>
      </c>
      <c r="F1699" s="2">
        <f t="shared" si="79"/>
        <v>15.100000000002183</v>
      </c>
      <c r="G1699" s="3">
        <f t="shared" si="80"/>
        <v>29.884491885647144</v>
      </c>
      <c r="H1699" t="str">
        <f t="shared" si="78"/>
        <v>2026-09</v>
      </c>
      <c r="I1699">
        <v>3</v>
      </c>
    </row>
    <row r="1700" spans="1:9" x14ac:dyDescent="0.25">
      <c r="A1700" t="s">
        <v>1705</v>
      </c>
      <c r="B1700">
        <v>23886.65</v>
      </c>
      <c r="C1700">
        <v>23910.65</v>
      </c>
      <c r="D1700">
        <v>23886.3</v>
      </c>
      <c r="E1700">
        <v>23887.65</v>
      </c>
      <c r="F1700" s="2">
        <f t="shared" si="79"/>
        <v>24.350000000002183</v>
      </c>
      <c r="G1700" s="3">
        <f t="shared" si="80"/>
        <v>29.489171036672502</v>
      </c>
      <c r="H1700" t="str">
        <f t="shared" si="78"/>
        <v>2026-09</v>
      </c>
      <c r="I1700">
        <v>3</v>
      </c>
    </row>
    <row r="1701" spans="1:9" x14ac:dyDescent="0.25">
      <c r="A1701" t="s">
        <v>1706</v>
      </c>
      <c r="B1701">
        <v>23888.6</v>
      </c>
      <c r="C1701">
        <v>23905.8</v>
      </c>
      <c r="D1701">
        <v>23867.95</v>
      </c>
      <c r="E1701">
        <v>23873.15</v>
      </c>
      <c r="F1701" s="2">
        <f t="shared" si="79"/>
        <v>37.849999999998545</v>
      </c>
      <c r="G1701" s="3">
        <f t="shared" si="80"/>
        <v>30.086373105481503</v>
      </c>
      <c r="H1701" t="str">
        <f t="shared" si="78"/>
        <v>2026-09</v>
      </c>
      <c r="I1701">
        <v>3</v>
      </c>
    </row>
    <row r="1702" spans="1:9" x14ac:dyDescent="0.25">
      <c r="A1702" t="s">
        <v>1707</v>
      </c>
      <c r="B1702">
        <v>23872.799999999999</v>
      </c>
      <c r="C1702">
        <v>23888.95</v>
      </c>
      <c r="D1702">
        <v>23851.9</v>
      </c>
      <c r="E1702">
        <v>23883.5</v>
      </c>
      <c r="F1702" s="2">
        <f t="shared" si="79"/>
        <v>37.049999999999272</v>
      </c>
      <c r="G1702" s="3">
        <f t="shared" si="80"/>
        <v>30.583775026518484</v>
      </c>
      <c r="H1702" t="str">
        <f t="shared" si="78"/>
        <v>2026-09</v>
      </c>
      <c r="I1702">
        <v>3</v>
      </c>
    </row>
    <row r="1703" spans="1:9" x14ac:dyDescent="0.25">
      <c r="A1703" t="s">
        <v>1708</v>
      </c>
      <c r="B1703">
        <v>24010.5</v>
      </c>
      <c r="C1703">
        <v>24025.4</v>
      </c>
      <c r="D1703">
        <v>23955.35</v>
      </c>
      <c r="E1703">
        <v>23981.95</v>
      </c>
      <c r="F1703" s="2">
        <f t="shared" si="79"/>
        <v>141.90000000000146</v>
      </c>
      <c r="G1703" s="3">
        <f t="shared" si="80"/>
        <v>38.534933953195839</v>
      </c>
      <c r="H1703" t="str">
        <f t="shared" si="78"/>
        <v>2026-09</v>
      </c>
      <c r="I1703">
        <v>3</v>
      </c>
    </row>
    <row r="1704" spans="1:9" x14ac:dyDescent="0.25">
      <c r="A1704" t="s">
        <v>1709</v>
      </c>
      <c r="B1704">
        <v>23982.2</v>
      </c>
      <c r="C1704">
        <v>24020.6</v>
      </c>
      <c r="D1704">
        <v>23980.05</v>
      </c>
      <c r="E1704">
        <v>24017.05</v>
      </c>
      <c r="F1704" s="2">
        <f t="shared" si="79"/>
        <v>40.549999999999272</v>
      </c>
      <c r="G1704" s="3">
        <f t="shared" si="80"/>
        <v>38.678867242253226</v>
      </c>
      <c r="H1704" t="str">
        <f t="shared" si="78"/>
        <v>2026-09</v>
      </c>
      <c r="I1704">
        <v>3</v>
      </c>
    </row>
    <row r="1705" spans="1:9" x14ac:dyDescent="0.25">
      <c r="A1705" t="s">
        <v>1710</v>
      </c>
      <c r="B1705">
        <v>24016.85</v>
      </c>
      <c r="C1705">
        <v>24022.85</v>
      </c>
      <c r="D1705">
        <v>24000.1</v>
      </c>
      <c r="E1705">
        <v>24006.9</v>
      </c>
      <c r="F1705" s="2">
        <f t="shared" si="79"/>
        <v>22.75</v>
      </c>
      <c r="G1705" s="3">
        <f t="shared" si="80"/>
        <v>37.541091010663713</v>
      </c>
      <c r="H1705" t="str">
        <f t="shared" si="78"/>
        <v>2026-09</v>
      </c>
      <c r="I1705">
        <v>3</v>
      </c>
    </row>
    <row r="1706" spans="1:9" x14ac:dyDescent="0.25">
      <c r="A1706" t="s">
        <v>1711</v>
      </c>
      <c r="B1706">
        <v>24007.599999999999</v>
      </c>
      <c r="C1706">
        <v>24008.1</v>
      </c>
      <c r="D1706">
        <v>23990.799999999999</v>
      </c>
      <c r="E1706">
        <v>23992.55</v>
      </c>
      <c r="F1706" s="2">
        <f t="shared" si="79"/>
        <v>17.299999999999272</v>
      </c>
      <c r="G1706" s="3">
        <f t="shared" si="80"/>
        <v>36.095298795616252</v>
      </c>
      <c r="H1706" t="str">
        <f t="shared" si="78"/>
        <v>2026-09</v>
      </c>
      <c r="I1706">
        <v>3</v>
      </c>
    </row>
    <row r="1707" spans="1:9" x14ac:dyDescent="0.25">
      <c r="A1707" t="s">
        <v>1712</v>
      </c>
      <c r="B1707">
        <v>23991.15</v>
      </c>
      <c r="C1707">
        <v>24004.65</v>
      </c>
      <c r="D1707">
        <v>23984.25</v>
      </c>
      <c r="E1707">
        <v>23985.25</v>
      </c>
      <c r="F1707" s="2">
        <f t="shared" si="79"/>
        <v>20.400000000001455</v>
      </c>
      <c r="G1707" s="3">
        <f t="shared" si="80"/>
        <v>34.974206024500909</v>
      </c>
      <c r="H1707" t="str">
        <f t="shared" si="78"/>
        <v>2026-09</v>
      </c>
      <c r="I1707">
        <v>3</v>
      </c>
    </row>
    <row r="1708" spans="1:9" x14ac:dyDescent="0.25">
      <c r="A1708" t="s">
        <v>1713</v>
      </c>
      <c r="B1708">
        <v>23984.7</v>
      </c>
      <c r="C1708">
        <v>23989.45</v>
      </c>
      <c r="D1708">
        <v>23951.9</v>
      </c>
      <c r="E1708">
        <v>23965.8</v>
      </c>
      <c r="F1708" s="2">
        <f t="shared" si="79"/>
        <v>37.549999999999272</v>
      </c>
      <c r="G1708" s="3">
        <f t="shared" si="80"/>
        <v>35.158191308465078</v>
      </c>
      <c r="H1708" t="str">
        <f t="shared" si="78"/>
        <v>2026-09</v>
      </c>
      <c r="I1708">
        <v>3</v>
      </c>
    </row>
    <row r="1709" spans="1:9" x14ac:dyDescent="0.25">
      <c r="A1709" t="s">
        <v>1714</v>
      </c>
      <c r="B1709">
        <v>23967.05</v>
      </c>
      <c r="C1709">
        <v>23976.05</v>
      </c>
      <c r="D1709">
        <v>23954.95</v>
      </c>
      <c r="E1709">
        <v>23960.65</v>
      </c>
      <c r="F1709" s="2">
        <f t="shared" si="79"/>
        <v>21.099999999998545</v>
      </c>
      <c r="G1709" s="3">
        <f t="shared" si="80"/>
        <v>34.154034786431751</v>
      </c>
      <c r="H1709" t="str">
        <f t="shared" si="78"/>
        <v>2026-09</v>
      </c>
      <c r="I1709">
        <v>3</v>
      </c>
    </row>
    <row r="1710" spans="1:9" x14ac:dyDescent="0.25">
      <c r="A1710" t="s">
        <v>1715</v>
      </c>
      <c r="B1710">
        <v>23960.9</v>
      </c>
      <c r="C1710">
        <v>23966.15</v>
      </c>
      <c r="D1710">
        <v>23922.6</v>
      </c>
      <c r="E1710">
        <v>23926.9</v>
      </c>
      <c r="F1710" s="2">
        <f t="shared" si="79"/>
        <v>43.55000000000291</v>
      </c>
      <c r="G1710" s="3">
        <f t="shared" si="80"/>
        <v>34.825175158829687</v>
      </c>
      <c r="H1710" t="str">
        <f t="shared" si="78"/>
        <v>2026-09</v>
      </c>
      <c r="I1710">
        <v>3</v>
      </c>
    </row>
    <row r="1711" spans="1:9" x14ac:dyDescent="0.25">
      <c r="A1711" t="s">
        <v>1716</v>
      </c>
      <c r="B1711">
        <v>23927.9</v>
      </c>
      <c r="C1711">
        <v>23966.6</v>
      </c>
      <c r="D1711">
        <v>23920.35</v>
      </c>
      <c r="E1711">
        <v>23964.3</v>
      </c>
      <c r="F1711" s="2">
        <f t="shared" si="79"/>
        <v>46.25</v>
      </c>
      <c r="G1711" s="3">
        <f t="shared" si="80"/>
        <v>35.641234076056136</v>
      </c>
      <c r="H1711" t="str">
        <f t="shared" si="78"/>
        <v>2026-09</v>
      </c>
      <c r="I1711">
        <v>3</v>
      </c>
    </row>
    <row r="1712" spans="1:9" x14ac:dyDescent="0.25">
      <c r="A1712" t="s">
        <v>1717</v>
      </c>
      <c r="B1712">
        <v>23964.15</v>
      </c>
      <c r="C1712">
        <v>23978</v>
      </c>
      <c r="D1712">
        <v>23959.95</v>
      </c>
      <c r="E1712">
        <v>23965.05</v>
      </c>
      <c r="F1712" s="2">
        <f t="shared" si="79"/>
        <v>18.049999999999272</v>
      </c>
      <c r="G1712" s="3">
        <f t="shared" si="80"/>
        <v>34.384717356337788</v>
      </c>
      <c r="H1712" t="str">
        <f t="shared" si="78"/>
        <v>2026-09</v>
      </c>
      <c r="I1712">
        <v>3</v>
      </c>
    </row>
    <row r="1713" spans="1:9" x14ac:dyDescent="0.25">
      <c r="A1713" t="s">
        <v>1718</v>
      </c>
      <c r="B1713">
        <v>23965.25</v>
      </c>
      <c r="C1713">
        <v>23974.05</v>
      </c>
      <c r="D1713">
        <v>23948.2</v>
      </c>
      <c r="E1713">
        <v>23956.55</v>
      </c>
      <c r="F1713" s="2">
        <f t="shared" si="79"/>
        <v>25.849999999998545</v>
      </c>
      <c r="G1713" s="3">
        <f t="shared" si="80"/>
        <v>33.775094688027842</v>
      </c>
      <c r="H1713" t="str">
        <f t="shared" si="78"/>
        <v>2026-09</v>
      </c>
      <c r="I1713">
        <v>3</v>
      </c>
    </row>
    <row r="1714" spans="1:9" x14ac:dyDescent="0.25">
      <c r="A1714" t="s">
        <v>1719</v>
      </c>
      <c r="B1714">
        <v>23956.75</v>
      </c>
      <c r="C1714">
        <v>23960.1</v>
      </c>
      <c r="D1714">
        <v>23927.1</v>
      </c>
      <c r="E1714">
        <v>23936.65</v>
      </c>
      <c r="F1714" s="2">
        <f t="shared" si="79"/>
        <v>33</v>
      </c>
      <c r="G1714" s="3">
        <f t="shared" si="80"/>
        <v>33.719730781740139</v>
      </c>
      <c r="H1714" t="str">
        <f t="shared" si="78"/>
        <v>2026-09</v>
      </c>
      <c r="I1714">
        <v>3</v>
      </c>
    </row>
    <row r="1715" spans="1:9" x14ac:dyDescent="0.25">
      <c r="A1715" t="s">
        <v>1720</v>
      </c>
      <c r="B1715">
        <v>23935.95</v>
      </c>
      <c r="C1715">
        <v>23938.15</v>
      </c>
      <c r="D1715">
        <v>23904.799999999999</v>
      </c>
      <c r="E1715">
        <v>23908.55</v>
      </c>
      <c r="F1715" s="2">
        <f t="shared" si="79"/>
        <v>33.350000000002183</v>
      </c>
      <c r="G1715" s="3">
        <f t="shared" si="80"/>
        <v>33.693321440187432</v>
      </c>
      <c r="H1715" t="str">
        <f t="shared" si="78"/>
        <v>2026-09</v>
      </c>
      <c r="I1715">
        <v>3</v>
      </c>
    </row>
    <row r="1716" spans="1:9" x14ac:dyDescent="0.25">
      <c r="A1716" t="s">
        <v>1721</v>
      </c>
      <c r="B1716">
        <v>23907.75</v>
      </c>
      <c r="C1716">
        <v>23919.9</v>
      </c>
      <c r="D1716">
        <v>23903.15</v>
      </c>
      <c r="E1716">
        <v>23910</v>
      </c>
      <c r="F1716" s="2">
        <f t="shared" si="79"/>
        <v>16.75</v>
      </c>
      <c r="G1716" s="3">
        <f t="shared" si="80"/>
        <v>32.483084194459757</v>
      </c>
      <c r="H1716" t="str">
        <f t="shared" si="78"/>
        <v>2026-09</v>
      </c>
      <c r="I1716">
        <v>3</v>
      </c>
    </row>
    <row r="1717" spans="1:9" x14ac:dyDescent="0.25">
      <c r="A1717" t="s">
        <v>1722</v>
      </c>
      <c r="B1717">
        <v>23909.05</v>
      </c>
      <c r="C1717">
        <v>23930.35</v>
      </c>
      <c r="D1717">
        <v>23908.5</v>
      </c>
      <c r="E1717">
        <v>23920</v>
      </c>
      <c r="F1717" s="2">
        <f t="shared" si="79"/>
        <v>21.849999999998545</v>
      </c>
      <c r="G1717" s="3">
        <f t="shared" si="80"/>
        <v>31.723578180569667</v>
      </c>
      <c r="H1717" t="str">
        <f t="shared" si="78"/>
        <v>2026-09</v>
      </c>
      <c r="I1717">
        <v>3</v>
      </c>
    </row>
    <row r="1718" spans="1:9" x14ac:dyDescent="0.25">
      <c r="A1718" t="s">
        <v>1723</v>
      </c>
      <c r="B1718">
        <v>23920.3</v>
      </c>
      <c r="C1718">
        <v>23936.15</v>
      </c>
      <c r="D1718">
        <v>23911.85</v>
      </c>
      <c r="E1718">
        <v>23925.95</v>
      </c>
      <c r="F1718" s="2">
        <f t="shared" si="79"/>
        <v>24.30000000000291</v>
      </c>
      <c r="G1718" s="3">
        <f t="shared" si="80"/>
        <v>31.193322596243469</v>
      </c>
      <c r="H1718" t="str">
        <f t="shared" si="78"/>
        <v>2026-09</v>
      </c>
      <c r="I1718">
        <v>3</v>
      </c>
    </row>
    <row r="1719" spans="1:9" x14ac:dyDescent="0.25">
      <c r="A1719" t="s">
        <v>1724</v>
      </c>
      <c r="B1719">
        <v>23926</v>
      </c>
      <c r="C1719">
        <v>23937.3</v>
      </c>
      <c r="D1719">
        <v>23897.85</v>
      </c>
      <c r="E1719">
        <v>23910.2</v>
      </c>
      <c r="F1719" s="2">
        <f t="shared" si="79"/>
        <v>39.450000000000728</v>
      </c>
      <c r="G1719" s="3">
        <f t="shared" si="80"/>
        <v>31.783085267940415</v>
      </c>
      <c r="H1719" t="str">
        <f t="shared" si="78"/>
        <v>2026-09</v>
      </c>
      <c r="I1719">
        <v>3</v>
      </c>
    </row>
    <row r="1720" spans="1:9" x14ac:dyDescent="0.25">
      <c r="A1720" t="s">
        <v>1725</v>
      </c>
      <c r="B1720">
        <v>23910.05</v>
      </c>
      <c r="C1720">
        <v>23936.9</v>
      </c>
      <c r="D1720">
        <v>23903.25</v>
      </c>
      <c r="E1720">
        <v>23907.35</v>
      </c>
      <c r="F1720" s="2">
        <f t="shared" si="79"/>
        <v>33.650000000001455</v>
      </c>
      <c r="G1720" s="3">
        <f t="shared" si="80"/>
        <v>31.916436320230492</v>
      </c>
      <c r="H1720" t="str">
        <f t="shared" si="78"/>
        <v>2026-09</v>
      </c>
      <c r="I1720">
        <v>3</v>
      </c>
    </row>
    <row r="1721" spans="1:9" x14ac:dyDescent="0.25">
      <c r="A1721" t="s">
        <v>1726</v>
      </c>
      <c r="B1721">
        <v>23908.6</v>
      </c>
      <c r="C1721">
        <v>23923.9</v>
      </c>
      <c r="D1721">
        <v>23893</v>
      </c>
      <c r="E1721">
        <v>23918.1</v>
      </c>
      <c r="F1721" s="2">
        <f t="shared" si="79"/>
        <v>30.900000000001455</v>
      </c>
      <c r="G1721" s="3">
        <f t="shared" si="80"/>
        <v>31.84383372592842</v>
      </c>
      <c r="H1721" t="str">
        <f t="shared" si="78"/>
        <v>2026-09</v>
      </c>
      <c r="I1721">
        <v>3</v>
      </c>
    </row>
    <row r="1722" spans="1:9" x14ac:dyDescent="0.25">
      <c r="A1722" t="s">
        <v>1727</v>
      </c>
      <c r="B1722">
        <v>23918.15</v>
      </c>
      <c r="C1722">
        <v>23922.65</v>
      </c>
      <c r="D1722">
        <v>23903.5</v>
      </c>
      <c r="E1722">
        <v>23912.95</v>
      </c>
      <c r="F1722" s="2">
        <f t="shared" si="79"/>
        <v>19.150000000001455</v>
      </c>
      <c r="G1722" s="3">
        <f t="shared" si="80"/>
        <v>30.937131316933637</v>
      </c>
      <c r="H1722" t="str">
        <f t="shared" si="78"/>
        <v>2026-09</v>
      </c>
      <c r="I1722">
        <v>3</v>
      </c>
    </row>
    <row r="1723" spans="1:9" x14ac:dyDescent="0.25">
      <c r="A1723" t="s">
        <v>1728</v>
      </c>
      <c r="B1723">
        <v>23913.3</v>
      </c>
      <c r="C1723">
        <v>23930.35</v>
      </c>
      <c r="D1723">
        <v>23902.05</v>
      </c>
      <c r="E1723">
        <v>23921.4</v>
      </c>
      <c r="F1723" s="2">
        <f t="shared" si="79"/>
        <v>28.299999999999272</v>
      </c>
      <c r="G1723" s="3">
        <f t="shared" si="80"/>
        <v>30.748764794295472</v>
      </c>
      <c r="H1723" t="str">
        <f t="shared" si="78"/>
        <v>2026-09</v>
      </c>
      <c r="I1723">
        <v>3</v>
      </c>
    </row>
    <row r="1724" spans="1:9" x14ac:dyDescent="0.25">
      <c r="A1724" t="s">
        <v>1729</v>
      </c>
      <c r="B1724">
        <v>23921.85</v>
      </c>
      <c r="C1724">
        <v>23923.75</v>
      </c>
      <c r="D1724">
        <v>23903.55</v>
      </c>
      <c r="E1724">
        <v>23908.6</v>
      </c>
      <c r="F1724" s="2">
        <f t="shared" si="79"/>
        <v>20.200000000000728</v>
      </c>
      <c r="G1724" s="3">
        <f t="shared" si="80"/>
        <v>29.995281594702991</v>
      </c>
      <c r="H1724" t="str">
        <f t="shared" si="78"/>
        <v>2026-09</v>
      </c>
      <c r="I1724">
        <v>3</v>
      </c>
    </row>
    <row r="1725" spans="1:9" x14ac:dyDescent="0.25">
      <c r="A1725" t="s">
        <v>1730</v>
      </c>
      <c r="B1725">
        <v>23908.2</v>
      </c>
      <c r="C1725">
        <v>23916.95</v>
      </c>
      <c r="D1725">
        <v>23893.7</v>
      </c>
      <c r="E1725">
        <v>23898.35</v>
      </c>
      <c r="F1725" s="2">
        <f t="shared" si="79"/>
        <v>23.25</v>
      </c>
      <c r="G1725" s="3">
        <f t="shared" si="80"/>
        <v>29.51347576650992</v>
      </c>
      <c r="H1725" t="str">
        <f t="shared" si="78"/>
        <v>2026-09</v>
      </c>
      <c r="I1725">
        <v>3</v>
      </c>
    </row>
    <row r="1726" spans="1:9" x14ac:dyDescent="0.25">
      <c r="A1726" t="s">
        <v>1731</v>
      </c>
      <c r="B1726">
        <v>23897.35</v>
      </c>
      <c r="C1726">
        <v>23915.15</v>
      </c>
      <c r="D1726">
        <v>23876.85</v>
      </c>
      <c r="E1726">
        <v>23904.85</v>
      </c>
      <c r="F1726" s="2">
        <f t="shared" si="79"/>
        <v>38.30000000000291</v>
      </c>
      <c r="G1726" s="3">
        <f t="shared" si="80"/>
        <v>30.141084640330849</v>
      </c>
      <c r="H1726" t="str">
        <f t="shared" si="78"/>
        <v>2026-09</v>
      </c>
      <c r="I1726">
        <v>3</v>
      </c>
    </row>
    <row r="1727" spans="1:9" x14ac:dyDescent="0.25">
      <c r="A1727" t="s">
        <v>1732</v>
      </c>
      <c r="B1727">
        <v>23910.55</v>
      </c>
      <c r="C1727">
        <v>23949.85</v>
      </c>
      <c r="D1727">
        <v>23900</v>
      </c>
      <c r="E1727">
        <v>23908.35</v>
      </c>
      <c r="F1727" s="2">
        <f t="shared" si="79"/>
        <v>49.849999999998545</v>
      </c>
      <c r="G1727" s="3">
        <f t="shared" si="80"/>
        <v>31.548864308878542</v>
      </c>
      <c r="H1727" t="str">
        <f t="shared" si="78"/>
        <v>2026-09</v>
      </c>
      <c r="I1727">
        <v>3</v>
      </c>
    </row>
    <row r="1728" spans="1:9" x14ac:dyDescent="0.25">
      <c r="A1728" t="s">
        <v>1733</v>
      </c>
      <c r="B1728">
        <v>23908.7</v>
      </c>
      <c r="C1728">
        <v>23916.3</v>
      </c>
      <c r="D1728">
        <v>23895.85</v>
      </c>
      <c r="E1728">
        <v>23910.55</v>
      </c>
      <c r="F1728" s="2">
        <f t="shared" si="79"/>
        <v>20.450000000000728</v>
      </c>
      <c r="G1728" s="3">
        <f t="shared" si="80"/>
        <v>30.756088286815842</v>
      </c>
      <c r="H1728" t="str">
        <f t="shared" si="78"/>
        <v>2026-09</v>
      </c>
      <c r="I1728">
        <v>3</v>
      </c>
    </row>
    <row r="1729" spans="1:9" x14ac:dyDescent="0.25">
      <c r="A1729" t="s">
        <v>1734</v>
      </c>
      <c r="B1729">
        <v>23912.5</v>
      </c>
      <c r="C1729">
        <v>23955.25</v>
      </c>
      <c r="D1729">
        <v>23910.6</v>
      </c>
      <c r="E1729">
        <v>23948.400000000001</v>
      </c>
      <c r="F1729" s="2">
        <f t="shared" si="79"/>
        <v>44.700000000000728</v>
      </c>
      <c r="G1729" s="3">
        <f t="shared" si="80"/>
        <v>31.752081980614765</v>
      </c>
      <c r="H1729" t="str">
        <f t="shared" si="78"/>
        <v>2026-09</v>
      </c>
      <c r="I1729">
        <v>3</v>
      </c>
    </row>
    <row r="1730" spans="1:9" x14ac:dyDescent="0.25">
      <c r="A1730" t="s">
        <v>1735</v>
      </c>
      <c r="B1730">
        <v>23948.7</v>
      </c>
      <c r="C1730">
        <v>23962.55</v>
      </c>
      <c r="D1730">
        <v>23936.05</v>
      </c>
      <c r="E1730">
        <v>23939.45</v>
      </c>
      <c r="F1730" s="2">
        <f t="shared" si="79"/>
        <v>26.5</v>
      </c>
      <c r="G1730" s="3">
        <f t="shared" si="80"/>
        <v>31.376933267713714</v>
      </c>
      <c r="H1730" t="str">
        <f t="shared" ref="H1730:H1793" si="81">LEFT(A1730,7)</f>
        <v>2026-09</v>
      </c>
      <c r="I1730">
        <v>3</v>
      </c>
    </row>
    <row r="1731" spans="1:9" x14ac:dyDescent="0.25">
      <c r="A1731" t="s">
        <v>1736</v>
      </c>
      <c r="B1731">
        <v>23939.55</v>
      </c>
      <c r="C1731">
        <v>23964.75</v>
      </c>
      <c r="D1731">
        <v>23936.45</v>
      </c>
      <c r="E1731">
        <v>23963.8</v>
      </c>
      <c r="F1731" s="2">
        <f t="shared" ref="F1731:F1794" si="82">MAX(C1731-D1731,ABS(C1731-E1730),ABS(D1731-E1730))</f>
        <v>28.299999999999272</v>
      </c>
      <c r="G1731" s="3">
        <f t="shared" si="80"/>
        <v>31.157152320019826</v>
      </c>
      <c r="H1731" t="str">
        <f t="shared" si="81"/>
        <v>2026-09</v>
      </c>
      <c r="I1731">
        <v>3</v>
      </c>
    </row>
    <row r="1732" spans="1:9" x14ac:dyDescent="0.25">
      <c r="A1732" t="s">
        <v>1737</v>
      </c>
      <c r="B1732">
        <v>23964.35</v>
      </c>
      <c r="C1732">
        <v>23971.85</v>
      </c>
      <c r="D1732">
        <v>23952.45</v>
      </c>
      <c r="E1732">
        <v>23953.200000000001</v>
      </c>
      <c r="F1732" s="2">
        <f t="shared" si="82"/>
        <v>19.399999999997817</v>
      </c>
      <c r="G1732" s="3">
        <f t="shared" si="80"/>
        <v>30.31735572573254</v>
      </c>
      <c r="H1732" t="str">
        <f t="shared" si="81"/>
        <v>2026-09</v>
      </c>
      <c r="I1732">
        <v>3</v>
      </c>
    </row>
    <row r="1733" spans="1:9" x14ac:dyDescent="0.25">
      <c r="A1733" t="s">
        <v>1738</v>
      </c>
      <c r="B1733">
        <v>23954.2</v>
      </c>
      <c r="C1733">
        <v>23967.25</v>
      </c>
      <c r="D1733">
        <v>23951.8</v>
      </c>
      <c r="E1733">
        <v>23967.05</v>
      </c>
      <c r="F1733" s="2">
        <f t="shared" si="82"/>
        <v>15.450000000000728</v>
      </c>
      <c r="G1733" s="3">
        <f t="shared" si="80"/>
        <v>29.255401745323127</v>
      </c>
      <c r="H1733" t="str">
        <f t="shared" si="81"/>
        <v>2026-09</v>
      </c>
      <c r="I1733">
        <v>3</v>
      </c>
    </row>
    <row r="1734" spans="1:9" x14ac:dyDescent="0.25">
      <c r="A1734" t="s">
        <v>1739</v>
      </c>
      <c r="B1734">
        <v>23967.3</v>
      </c>
      <c r="C1734">
        <v>23976.1</v>
      </c>
      <c r="D1734">
        <v>23957.85</v>
      </c>
      <c r="E1734">
        <v>23965.05</v>
      </c>
      <c r="F1734" s="2">
        <f t="shared" si="82"/>
        <v>18.25</v>
      </c>
      <c r="G1734" s="3">
        <f t="shared" si="80"/>
        <v>28.469301620657188</v>
      </c>
      <c r="H1734" t="str">
        <f t="shared" si="81"/>
        <v>2026-09</v>
      </c>
      <c r="I1734">
        <v>3</v>
      </c>
    </row>
    <row r="1735" spans="1:9" x14ac:dyDescent="0.25">
      <c r="A1735" t="s">
        <v>1740</v>
      </c>
      <c r="B1735">
        <v>23965.25</v>
      </c>
      <c r="C1735">
        <v>23990.2</v>
      </c>
      <c r="D1735">
        <v>23960.95</v>
      </c>
      <c r="E1735">
        <v>23982.15</v>
      </c>
      <c r="F1735" s="2">
        <f t="shared" si="82"/>
        <v>29.25</v>
      </c>
      <c r="G1735" s="3">
        <f t="shared" si="80"/>
        <v>28.525065790610245</v>
      </c>
      <c r="H1735" t="str">
        <f t="shared" si="81"/>
        <v>2026-09</v>
      </c>
      <c r="I1735">
        <v>3</v>
      </c>
    </row>
    <row r="1736" spans="1:9" x14ac:dyDescent="0.25">
      <c r="A1736" t="s">
        <v>1741</v>
      </c>
      <c r="B1736">
        <v>23982.85</v>
      </c>
      <c r="C1736">
        <v>24005.75</v>
      </c>
      <c r="D1736">
        <v>23980.3</v>
      </c>
      <c r="E1736">
        <v>23981.5</v>
      </c>
      <c r="F1736" s="2">
        <f t="shared" si="82"/>
        <v>25.450000000000728</v>
      </c>
      <c r="G1736" s="3">
        <f t="shared" si="80"/>
        <v>28.305418234138138</v>
      </c>
      <c r="H1736" t="str">
        <f t="shared" si="81"/>
        <v>2026-09</v>
      </c>
      <c r="I1736">
        <v>3</v>
      </c>
    </row>
    <row r="1737" spans="1:9" x14ac:dyDescent="0.25">
      <c r="A1737" t="s">
        <v>1742</v>
      </c>
      <c r="B1737">
        <v>23981.85</v>
      </c>
      <c r="C1737">
        <v>23991.75</v>
      </c>
      <c r="D1737">
        <v>23977.35</v>
      </c>
      <c r="E1737">
        <v>23978.65</v>
      </c>
      <c r="F1737" s="2">
        <f t="shared" si="82"/>
        <v>14.400000000001455</v>
      </c>
      <c r="G1737" s="3">
        <f t="shared" si="80"/>
        <v>27.312174074556946</v>
      </c>
      <c r="H1737" t="str">
        <f t="shared" si="81"/>
        <v>2026-09</v>
      </c>
      <c r="I1737">
        <v>3</v>
      </c>
    </row>
    <row r="1738" spans="1:9" x14ac:dyDescent="0.25">
      <c r="A1738" t="s">
        <v>1743</v>
      </c>
      <c r="B1738">
        <v>23979.7</v>
      </c>
      <c r="C1738">
        <v>23979.7</v>
      </c>
      <c r="D1738">
        <v>23946.799999999999</v>
      </c>
      <c r="E1738">
        <v>23952.85</v>
      </c>
      <c r="F1738" s="2">
        <f t="shared" si="82"/>
        <v>32.900000000001455</v>
      </c>
      <c r="G1738" s="3">
        <f t="shared" si="80"/>
        <v>27.711304497802981</v>
      </c>
      <c r="H1738" t="str">
        <f t="shared" si="81"/>
        <v>2026-09</v>
      </c>
      <c r="I1738">
        <v>3</v>
      </c>
    </row>
    <row r="1739" spans="1:9" x14ac:dyDescent="0.25">
      <c r="A1739" t="s">
        <v>1744</v>
      </c>
      <c r="B1739">
        <v>23951.7</v>
      </c>
      <c r="C1739">
        <v>23954.35</v>
      </c>
      <c r="D1739">
        <v>23937.55</v>
      </c>
      <c r="E1739">
        <v>23947</v>
      </c>
      <c r="F1739" s="2">
        <f t="shared" si="82"/>
        <v>16.799999999999272</v>
      </c>
      <c r="G1739" s="3">
        <f t="shared" si="80"/>
        <v>26.931925605102716</v>
      </c>
      <c r="H1739" t="str">
        <f t="shared" si="81"/>
        <v>2026-09</v>
      </c>
      <c r="I1739">
        <v>3</v>
      </c>
    </row>
    <row r="1740" spans="1:9" x14ac:dyDescent="0.25">
      <c r="A1740" t="s">
        <v>1745</v>
      </c>
      <c r="B1740">
        <v>23948.55</v>
      </c>
      <c r="C1740">
        <v>23950.400000000001</v>
      </c>
      <c r="D1740">
        <v>23937.15</v>
      </c>
      <c r="E1740">
        <v>23938.6</v>
      </c>
      <c r="F1740" s="2">
        <f t="shared" si="82"/>
        <v>13.25</v>
      </c>
      <c r="G1740" s="3">
        <f t="shared" si="80"/>
        <v>25.954645204738235</v>
      </c>
      <c r="H1740" t="str">
        <f t="shared" si="81"/>
        <v>2026-09</v>
      </c>
      <c r="I1740">
        <v>3</v>
      </c>
    </row>
    <row r="1741" spans="1:9" x14ac:dyDescent="0.25">
      <c r="A1741" t="s">
        <v>1746</v>
      </c>
      <c r="B1741">
        <v>23940.15</v>
      </c>
      <c r="C1741">
        <v>23946.7</v>
      </c>
      <c r="D1741">
        <v>23927.25</v>
      </c>
      <c r="E1741">
        <v>23935.1</v>
      </c>
      <c r="F1741" s="2">
        <f t="shared" si="82"/>
        <v>19.450000000000728</v>
      </c>
      <c r="G1741" s="3">
        <f t="shared" si="80"/>
        <v>25.490027690114125</v>
      </c>
      <c r="H1741" t="str">
        <f t="shared" si="81"/>
        <v>2026-09</v>
      </c>
      <c r="I1741">
        <v>3</v>
      </c>
    </row>
    <row r="1742" spans="1:9" x14ac:dyDescent="0.25">
      <c r="A1742" t="s">
        <v>1747</v>
      </c>
      <c r="B1742">
        <v>23936.95</v>
      </c>
      <c r="C1742">
        <v>23952.65</v>
      </c>
      <c r="D1742">
        <v>23933.55</v>
      </c>
      <c r="E1742">
        <v>23946.35</v>
      </c>
      <c r="F1742" s="2">
        <f t="shared" si="82"/>
        <v>19.100000000002183</v>
      </c>
      <c r="G1742" s="3">
        <f t="shared" si="80"/>
        <v>25.033597140820415</v>
      </c>
      <c r="H1742" t="str">
        <f t="shared" si="81"/>
        <v>2026-09</v>
      </c>
      <c r="I1742">
        <v>3</v>
      </c>
    </row>
    <row r="1743" spans="1:9" x14ac:dyDescent="0.25">
      <c r="A1743" t="s">
        <v>1748</v>
      </c>
      <c r="B1743">
        <v>23948.45</v>
      </c>
      <c r="C1743">
        <v>23957.9</v>
      </c>
      <c r="D1743">
        <v>23935.65</v>
      </c>
      <c r="E1743">
        <v>23939.4</v>
      </c>
      <c r="F1743" s="2">
        <f t="shared" si="82"/>
        <v>22.25</v>
      </c>
      <c r="G1743" s="3">
        <f t="shared" si="80"/>
        <v>24.834768773618954</v>
      </c>
      <c r="H1743" t="str">
        <f t="shared" si="81"/>
        <v>2026-09</v>
      </c>
      <c r="I1743">
        <v>3</v>
      </c>
    </row>
    <row r="1744" spans="1:9" x14ac:dyDescent="0.25">
      <c r="A1744" t="s">
        <v>1749</v>
      </c>
      <c r="B1744">
        <v>23940.9</v>
      </c>
      <c r="C1744">
        <v>23951.7</v>
      </c>
      <c r="D1744">
        <v>23931.65</v>
      </c>
      <c r="E1744">
        <v>23944.35</v>
      </c>
      <c r="F1744" s="2">
        <f t="shared" si="82"/>
        <v>20.049999999999272</v>
      </c>
      <c r="G1744" s="3">
        <f t="shared" ref="G1744:G1807" si="83">(G1743*13+F1744)/14</f>
        <v>24.492999575503262</v>
      </c>
      <c r="H1744" t="str">
        <f t="shared" si="81"/>
        <v>2026-09</v>
      </c>
      <c r="I1744">
        <v>3</v>
      </c>
    </row>
    <row r="1745" spans="1:9" x14ac:dyDescent="0.25">
      <c r="A1745" t="s">
        <v>1750</v>
      </c>
      <c r="B1745">
        <v>23946.400000000001</v>
      </c>
      <c r="C1745">
        <v>23953.75</v>
      </c>
      <c r="D1745">
        <v>23937.1</v>
      </c>
      <c r="E1745">
        <v>23939.15</v>
      </c>
      <c r="F1745" s="2">
        <f t="shared" si="82"/>
        <v>16.650000000001455</v>
      </c>
      <c r="G1745" s="3">
        <f t="shared" si="83"/>
        <v>23.932785320110277</v>
      </c>
      <c r="H1745" t="str">
        <f t="shared" si="81"/>
        <v>2026-09</v>
      </c>
      <c r="I1745">
        <v>3</v>
      </c>
    </row>
    <row r="1746" spans="1:9" x14ac:dyDescent="0.25">
      <c r="A1746" t="s">
        <v>1751</v>
      </c>
      <c r="B1746">
        <v>23942.2</v>
      </c>
      <c r="C1746">
        <v>23951.3</v>
      </c>
      <c r="D1746">
        <v>23938.65</v>
      </c>
      <c r="E1746">
        <v>23948.2</v>
      </c>
      <c r="F1746" s="2">
        <f t="shared" si="82"/>
        <v>12.649999999997817</v>
      </c>
      <c r="G1746" s="3">
        <f t="shared" si="83"/>
        <v>23.126872082959387</v>
      </c>
      <c r="H1746" t="str">
        <f t="shared" si="81"/>
        <v>2026-09</v>
      </c>
      <c r="I1746">
        <v>3</v>
      </c>
    </row>
    <row r="1747" spans="1:9" x14ac:dyDescent="0.25">
      <c r="A1747" t="s">
        <v>1752</v>
      </c>
      <c r="B1747">
        <v>23950.05</v>
      </c>
      <c r="C1747">
        <v>23961.1</v>
      </c>
      <c r="D1747">
        <v>23942.1</v>
      </c>
      <c r="E1747">
        <v>23957.599999999999</v>
      </c>
      <c r="F1747" s="2">
        <f t="shared" si="82"/>
        <v>19</v>
      </c>
      <c r="G1747" s="3">
        <f t="shared" si="83"/>
        <v>22.832095505605146</v>
      </c>
      <c r="H1747" t="str">
        <f t="shared" si="81"/>
        <v>2026-09</v>
      </c>
      <c r="I1747">
        <v>3</v>
      </c>
    </row>
    <row r="1748" spans="1:9" x14ac:dyDescent="0.25">
      <c r="A1748" t="s">
        <v>1753</v>
      </c>
      <c r="B1748">
        <v>23958.95</v>
      </c>
      <c r="C1748">
        <v>23966.35</v>
      </c>
      <c r="D1748">
        <v>23937.05</v>
      </c>
      <c r="E1748">
        <v>23937.25</v>
      </c>
      <c r="F1748" s="2">
        <f t="shared" si="82"/>
        <v>29.299999999999272</v>
      </c>
      <c r="G1748" s="3">
        <f t="shared" si="83"/>
        <v>23.294088683776156</v>
      </c>
      <c r="H1748" t="str">
        <f t="shared" si="81"/>
        <v>2026-09</v>
      </c>
      <c r="I1748">
        <v>3</v>
      </c>
    </row>
    <row r="1749" spans="1:9" x14ac:dyDescent="0.25">
      <c r="A1749" t="s">
        <v>1754</v>
      </c>
      <c r="B1749">
        <v>23937.7</v>
      </c>
      <c r="C1749">
        <v>23944.75</v>
      </c>
      <c r="D1749">
        <v>23934</v>
      </c>
      <c r="E1749">
        <v>23938.1</v>
      </c>
      <c r="F1749" s="2">
        <f t="shared" si="82"/>
        <v>10.75</v>
      </c>
      <c r="G1749" s="3">
        <f t="shared" si="83"/>
        <v>22.398082349220715</v>
      </c>
      <c r="H1749" t="str">
        <f t="shared" si="81"/>
        <v>2026-09</v>
      </c>
      <c r="I1749">
        <v>3</v>
      </c>
    </row>
    <row r="1750" spans="1:9" x14ac:dyDescent="0.25">
      <c r="A1750" t="s">
        <v>1755</v>
      </c>
      <c r="B1750">
        <v>23936.799999999999</v>
      </c>
      <c r="C1750">
        <v>23944.400000000001</v>
      </c>
      <c r="D1750">
        <v>23928.25</v>
      </c>
      <c r="E1750">
        <v>23938.400000000001</v>
      </c>
      <c r="F1750" s="2">
        <f t="shared" si="82"/>
        <v>16.150000000001455</v>
      </c>
      <c r="G1750" s="3">
        <f t="shared" si="83"/>
        <v>21.951790752847909</v>
      </c>
      <c r="H1750" t="str">
        <f t="shared" si="81"/>
        <v>2026-09</v>
      </c>
      <c r="I1750">
        <v>3</v>
      </c>
    </row>
    <row r="1751" spans="1:9" x14ac:dyDescent="0.25">
      <c r="A1751" t="s">
        <v>1756</v>
      </c>
      <c r="B1751">
        <v>23884.6</v>
      </c>
      <c r="C1751">
        <v>23890</v>
      </c>
      <c r="D1751">
        <v>23818.5</v>
      </c>
      <c r="E1751">
        <v>23828.65</v>
      </c>
      <c r="F1751" s="2">
        <f t="shared" si="82"/>
        <v>119.90000000000146</v>
      </c>
      <c r="G1751" s="3">
        <f t="shared" si="83"/>
        <v>28.948091413358874</v>
      </c>
      <c r="H1751" t="str">
        <f t="shared" si="81"/>
        <v>2026-09</v>
      </c>
      <c r="I1751">
        <v>3</v>
      </c>
    </row>
    <row r="1752" spans="1:9" x14ac:dyDescent="0.25">
      <c r="A1752" t="s">
        <v>1757</v>
      </c>
      <c r="B1752">
        <v>23830.95</v>
      </c>
      <c r="C1752">
        <v>23845.65</v>
      </c>
      <c r="D1752">
        <v>23828.25</v>
      </c>
      <c r="E1752">
        <v>23835.85</v>
      </c>
      <c r="F1752" s="2">
        <f t="shared" si="82"/>
        <v>17.400000000001455</v>
      </c>
      <c r="G1752" s="3">
        <f t="shared" si="83"/>
        <v>28.123227740976201</v>
      </c>
      <c r="H1752" t="str">
        <f t="shared" si="81"/>
        <v>2026-09</v>
      </c>
      <c r="I1752">
        <v>3</v>
      </c>
    </row>
    <row r="1753" spans="1:9" x14ac:dyDescent="0.25">
      <c r="A1753" t="s">
        <v>1758</v>
      </c>
      <c r="B1753">
        <v>23837.65</v>
      </c>
      <c r="C1753">
        <v>23841.8</v>
      </c>
      <c r="D1753">
        <v>23810.15</v>
      </c>
      <c r="E1753">
        <v>23815.95</v>
      </c>
      <c r="F1753" s="2">
        <f t="shared" si="82"/>
        <v>31.649999999997817</v>
      </c>
      <c r="G1753" s="3">
        <f t="shared" si="83"/>
        <v>28.375140045192033</v>
      </c>
      <c r="H1753" t="str">
        <f t="shared" si="81"/>
        <v>2026-09</v>
      </c>
      <c r="I1753">
        <v>3</v>
      </c>
    </row>
    <row r="1754" spans="1:9" x14ac:dyDescent="0.25">
      <c r="A1754" t="s">
        <v>1759</v>
      </c>
      <c r="B1754">
        <v>23817.05</v>
      </c>
      <c r="C1754">
        <v>23827.05</v>
      </c>
      <c r="D1754">
        <v>23806.1</v>
      </c>
      <c r="E1754">
        <v>23806.45</v>
      </c>
      <c r="F1754" s="2">
        <f t="shared" si="82"/>
        <v>20.950000000000728</v>
      </c>
      <c r="G1754" s="3">
        <f t="shared" si="83"/>
        <v>27.844772899106939</v>
      </c>
      <c r="H1754" t="str">
        <f t="shared" si="81"/>
        <v>2026-09</v>
      </c>
      <c r="I1754">
        <v>3</v>
      </c>
    </row>
    <row r="1755" spans="1:9" x14ac:dyDescent="0.25">
      <c r="A1755" t="s">
        <v>1760</v>
      </c>
      <c r="B1755">
        <v>23805.8</v>
      </c>
      <c r="C1755">
        <v>23811.15</v>
      </c>
      <c r="D1755">
        <v>23789.45</v>
      </c>
      <c r="E1755">
        <v>23799.599999999999</v>
      </c>
      <c r="F1755" s="2">
        <f t="shared" si="82"/>
        <v>21.700000000000728</v>
      </c>
      <c r="G1755" s="3">
        <f t="shared" si="83"/>
        <v>27.405860549170779</v>
      </c>
      <c r="H1755" t="str">
        <f t="shared" si="81"/>
        <v>2026-09</v>
      </c>
      <c r="I1755">
        <v>3</v>
      </c>
    </row>
    <row r="1756" spans="1:9" x14ac:dyDescent="0.25">
      <c r="A1756" t="s">
        <v>1761</v>
      </c>
      <c r="B1756">
        <v>23801.1</v>
      </c>
      <c r="C1756">
        <v>23805.45</v>
      </c>
      <c r="D1756">
        <v>23795.1</v>
      </c>
      <c r="E1756">
        <v>23802.05</v>
      </c>
      <c r="F1756" s="2">
        <f t="shared" si="82"/>
        <v>10.350000000002183</v>
      </c>
      <c r="G1756" s="3">
        <f t="shared" si="83"/>
        <v>26.187584795658733</v>
      </c>
      <c r="H1756" t="str">
        <f t="shared" si="81"/>
        <v>2026-09</v>
      </c>
      <c r="I1756">
        <v>3</v>
      </c>
    </row>
    <row r="1757" spans="1:9" x14ac:dyDescent="0.25">
      <c r="A1757" t="s">
        <v>1762</v>
      </c>
      <c r="B1757">
        <v>23803.05</v>
      </c>
      <c r="C1757">
        <v>23803.9</v>
      </c>
      <c r="D1757">
        <v>23784.45</v>
      </c>
      <c r="E1757">
        <v>23788.15</v>
      </c>
      <c r="F1757" s="2">
        <f t="shared" si="82"/>
        <v>19.450000000000728</v>
      </c>
      <c r="G1757" s="3">
        <f t="shared" si="83"/>
        <v>25.706328738826016</v>
      </c>
      <c r="H1757" t="str">
        <f t="shared" si="81"/>
        <v>2026-09</v>
      </c>
      <c r="I1757">
        <v>3</v>
      </c>
    </row>
    <row r="1758" spans="1:9" x14ac:dyDescent="0.25">
      <c r="A1758" t="s">
        <v>1763</v>
      </c>
      <c r="B1758">
        <v>23789.200000000001</v>
      </c>
      <c r="C1758">
        <v>23789.200000000001</v>
      </c>
      <c r="D1758">
        <v>23762.6</v>
      </c>
      <c r="E1758">
        <v>23769.15</v>
      </c>
      <c r="F1758" s="2">
        <f t="shared" si="82"/>
        <v>26.600000000002183</v>
      </c>
      <c r="G1758" s="3">
        <f t="shared" si="83"/>
        <v>25.770162400338599</v>
      </c>
      <c r="H1758" t="str">
        <f t="shared" si="81"/>
        <v>2026-09</v>
      </c>
      <c r="I1758">
        <v>3</v>
      </c>
    </row>
    <row r="1759" spans="1:9" x14ac:dyDescent="0.25">
      <c r="A1759" t="s">
        <v>1764</v>
      </c>
      <c r="B1759">
        <v>23770.25</v>
      </c>
      <c r="C1759">
        <v>23777.65</v>
      </c>
      <c r="D1759">
        <v>23762.95</v>
      </c>
      <c r="E1759">
        <v>23766.6</v>
      </c>
      <c r="F1759" s="2">
        <f t="shared" si="82"/>
        <v>14.700000000000728</v>
      </c>
      <c r="G1759" s="3">
        <f t="shared" si="83"/>
        <v>24.979436514600177</v>
      </c>
      <c r="H1759" t="str">
        <f t="shared" si="81"/>
        <v>2026-09</v>
      </c>
      <c r="I1759">
        <v>3</v>
      </c>
    </row>
    <row r="1760" spans="1:9" x14ac:dyDescent="0.25">
      <c r="A1760" t="s">
        <v>1765</v>
      </c>
      <c r="B1760">
        <v>23767.5</v>
      </c>
      <c r="C1760">
        <v>23773.1</v>
      </c>
      <c r="D1760">
        <v>23757.65</v>
      </c>
      <c r="E1760">
        <v>23771.9</v>
      </c>
      <c r="F1760" s="2">
        <f t="shared" si="82"/>
        <v>15.44999999999709</v>
      </c>
      <c r="G1760" s="3">
        <f t="shared" si="83"/>
        <v>24.298762477842814</v>
      </c>
      <c r="H1760" t="str">
        <f t="shared" si="81"/>
        <v>2026-09</v>
      </c>
      <c r="I1760">
        <v>3</v>
      </c>
    </row>
    <row r="1761" spans="1:9" x14ac:dyDescent="0.25">
      <c r="A1761" t="s">
        <v>1766</v>
      </c>
      <c r="B1761">
        <v>23773.75</v>
      </c>
      <c r="C1761">
        <v>23779.35</v>
      </c>
      <c r="D1761">
        <v>23767.9</v>
      </c>
      <c r="E1761">
        <v>23774.75</v>
      </c>
      <c r="F1761" s="2">
        <f t="shared" si="82"/>
        <v>11.44999999999709</v>
      </c>
      <c r="G1761" s="3">
        <f t="shared" si="83"/>
        <v>23.380993729425263</v>
      </c>
      <c r="H1761" t="str">
        <f t="shared" si="81"/>
        <v>2026-09</v>
      </c>
      <c r="I1761">
        <v>3</v>
      </c>
    </row>
    <row r="1762" spans="1:9" x14ac:dyDescent="0.25">
      <c r="A1762" t="s">
        <v>1767</v>
      </c>
      <c r="B1762">
        <v>23776.1</v>
      </c>
      <c r="C1762">
        <v>23788.75</v>
      </c>
      <c r="D1762">
        <v>23769.25</v>
      </c>
      <c r="E1762">
        <v>23785.95</v>
      </c>
      <c r="F1762" s="2">
        <f t="shared" si="82"/>
        <v>19.5</v>
      </c>
      <c r="G1762" s="3">
        <f t="shared" si="83"/>
        <v>23.103779891609175</v>
      </c>
      <c r="H1762" t="str">
        <f t="shared" si="81"/>
        <v>2026-09</v>
      </c>
      <c r="I1762">
        <v>3</v>
      </c>
    </row>
    <row r="1763" spans="1:9" x14ac:dyDescent="0.25">
      <c r="A1763" t="s">
        <v>1768</v>
      </c>
      <c r="B1763">
        <v>23786.7</v>
      </c>
      <c r="C1763">
        <v>23788.400000000001</v>
      </c>
      <c r="D1763">
        <v>23759.8</v>
      </c>
      <c r="E1763">
        <v>23761.4</v>
      </c>
      <c r="F1763" s="2">
        <f t="shared" si="82"/>
        <v>28.600000000002183</v>
      </c>
      <c r="G1763" s="3">
        <f t="shared" si="83"/>
        <v>23.496367042208675</v>
      </c>
      <c r="H1763" t="str">
        <f t="shared" si="81"/>
        <v>2026-09</v>
      </c>
      <c r="I1763">
        <v>3</v>
      </c>
    </row>
    <row r="1764" spans="1:9" x14ac:dyDescent="0.25">
      <c r="A1764" t="s">
        <v>1769</v>
      </c>
      <c r="B1764">
        <v>23761.9</v>
      </c>
      <c r="C1764">
        <v>23768.15</v>
      </c>
      <c r="D1764">
        <v>23751.75</v>
      </c>
      <c r="E1764">
        <v>23758.400000000001</v>
      </c>
      <c r="F1764" s="2">
        <f t="shared" si="82"/>
        <v>16.400000000001455</v>
      </c>
      <c r="G1764" s="3">
        <f t="shared" si="83"/>
        <v>22.98948368205102</v>
      </c>
      <c r="H1764" t="str">
        <f t="shared" si="81"/>
        <v>2026-09</v>
      </c>
      <c r="I1764">
        <v>3</v>
      </c>
    </row>
    <row r="1765" spans="1:9" x14ac:dyDescent="0.25">
      <c r="A1765" t="s">
        <v>1770</v>
      </c>
      <c r="B1765">
        <v>23760.45</v>
      </c>
      <c r="C1765">
        <v>23760.45</v>
      </c>
      <c r="D1765">
        <v>23738.7</v>
      </c>
      <c r="E1765">
        <v>23744.45</v>
      </c>
      <c r="F1765" s="2">
        <f t="shared" si="82"/>
        <v>21.75</v>
      </c>
      <c r="G1765" s="3">
        <f t="shared" si="83"/>
        <v>22.900949133333089</v>
      </c>
      <c r="H1765" t="str">
        <f t="shared" si="81"/>
        <v>2026-09</v>
      </c>
      <c r="I1765">
        <v>3</v>
      </c>
    </row>
    <row r="1766" spans="1:9" x14ac:dyDescent="0.25">
      <c r="A1766" t="s">
        <v>1771</v>
      </c>
      <c r="B1766">
        <v>23744.799999999999</v>
      </c>
      <c r="C1766">
        <v>23755.9</v>
      </c>
      <c r="D1766">
        <v>23741.05</v>
      </c>
      <c r="E1766">
        <v>23750.15</v>
      </c>
      <c r="F1766" s="2">
        <f t="shared" si="82"/>
        <v>14.850000000002183</v>
      </c>
      <c r="G1766" s="3">
        <f t="shared" si="83"/>
        <v>22.325881338095169</v>
      </c>
      <c r="H1766" t="str">
        <f t="shared" si="81"/>
        <v>2026-09</v>
      </c>
      <c r="I1766">
        <v>3</v>
      </c>
    </row>
    <row r="1767" spans="1:9" x14ac:dyDescent="0.25">
      <c r="A1767" t="s">
        <v>1772</v>
      </c>
      <c r="B1767">
        <v>23751.35</v>
      </c>
      <c r="C1767">
        <v>23763.75</v>
      </c>
      <c r="D1767">
        <v>23747.3</v>
      </c>
      <c r="E1767">
        <v>23756.85</v>
      </c>
      <c r="F1767" s="2">
        <f t="shared" si="82"/>
        <v>16.450000000000728</v>
      </c>
      <c r="G1767" s="3">
        <f t="shared" si="83"/>
        <v>21.90617552823128</v>
      </c>
      <c r="H1767" t="str">
        <f t="shared" si="81"/>
        <v>2026-09</v>
      </c>
      <c r="I1767">
        <v>3</v>
      </c>
    </row>
    <row r="1768" spans="1:9" x14ac:dyDescent="0.25">
      <c r="A1768" t="s">
        <v>1773</v>
      </c>
      <c r="B1768">
        <v>23758</v>
      </c>
      <c r="C1768">
        <v>23765.35</v>
      </c>
      <c r="D1768">
        <v>23751</v>
      </c>
      <c r="E1768">
        <v>23761.8</v>
      </c>
      <c r="F1768" s="2">
        <f t="shared" si="82"/>
        <v>14.349999999998545</v>
      </c>
      <c r="G1768" s="3">
        <f t="shared" si="83"/>
        <v>21.366448704786084</v>
      </c>
      <c r="H1768" t="str">
        <f t="shared" si="81"/>
        <v>2026-09</v>
      </c>
      <c r="I1768">
        <v>3</v>
      </c>
    </row>
    <row r="1769" spans="1:9" x14ac:dyDescent="0.25">
      <c r="A1769" t="s">
        <v>1774</v>
      </c>
      <c r="B1769">
        <v>23763.5</v>
      </c>
      <c r="C1769">
        <v>23781.7</v>
      </c>
      <c r="D1769">
        <v>23759.45</v>
      </c>
      <c r="E1769">
        <v>23775.05</v>
      </c>
      <c r="F1769" s="2">
        <f t="shared" si="82"/>
        <v>22.25</v>
      </c>
      <c r="G1769" s="3">
        <f t="shared" si="83"/>
        <v>21.42955951158708</v>
      </c>
      <c r="H1769" t="str">
        <f t="shared" si="81"/>
        <v>2026-09</v>
      </c>
      <c r="I1769">
        <v>3</v>
      </c>
    </row>
    <row r="1770" spans="1:9" x14ac:dyDescent="0.25">
      <c r="A1770" t="s">
        <v>1775</v>
      </c>
      <c r="B1770">
        <v>23777.65</v>
      </c>
      <c r="C1770">
        <v>23784.5</v>
      </c>
      <c r="D1770">
        <v>23767.5</v>
      </c>
      <c r="E1770">
        <v>23774.05</v>
      </c>
      <c r="F1770" s="2">
        <f t="shared" si="82"/>
        <v>17</v>
      </c>
      <c r="G1770" s="3">
        <f t="shared" si="83"/>
        <v>21.113162403616574</v>
      </c>
      <c r="H1770" t="str">
        <f t="shared" si="81"/>
        <v>2026-09</v>
      </c>
      <c r="I1770">
        <v>3</v>
      </c>
    </row>
    <row r="1771" spans="1:9" x14ac:dyDescent="0.25">
      <c r="A1771" t="s">
        <v>1776</v>
      </c>
      <c r="B1771">
        <v>23776</v>
      </c>
      <c r="C1771">
        <v>23786.65</v>
      </c>
      <c r="D1771">
        <v>23768.95</v>
      </c>
      <c r="E1771">
        <v>23784.15</v>
      </c>
      <c r="F1771" s="2">
        <f t="shared" si="82"/>
        <v>17.700000000000728</v>
      </c>
      <c r="G1771" s="3">
        <f t="shared" si="83"/>
        <v>20.869365089072584</v>
      </c>
      <c r="H1771" t="str">
        <f t="shared" si="81"/>
        <v>2026-09</v>
      </c>
      <c r="I1771">
        <v>3</v>
      </c>
    </row>
    <row r="1772" spans="1:9" x14ac:dyDescent="0.25">
      <c r="A1772" t="s">
        <v>1777</v>
      </c>
      <c r="B1772">
        <v>23784.9</v>
      </c>
      <c r="C1772">
        <v>23786.799999999999</v>
      </c>
      <c r="D1772">
        <v>23758.3</v>
      </c>
      <c r="E1772">
        <v>23758.7</v>
      </c>
      <c r="F1772" s="2">
        <f t="shared" si="82"/>
        <v>28.5</v>
      </c>
      <c r="G1772" s="3">
        <f t="shared" si="83"/>
        <v>21.414410439853111</v>
      </c>
      <c r="H1772" t="str">
        <f t="shared" si="81"/>
        <v>2026-09</v>
      </c>
      <c r="I1772">
        <v>3</v>
      </c>
    </row>
    <row r="1773" spans="1:9" x14ac:dyDescent="0.25">
      <c r="A1773" t="s">
        <v>1778</v>
      </c>
      <c r="B1773">
        <v>23759.15</v>
      </c>
      <c r="C1773">
        <v>23765.5</v>
      </c>
      <c r="D1773">
        <v>23745.65</v>
      </c>
      <c r="E1773">
        <v>23749.4</v>
      </c>
      <c r="F1773" s="2">
        <f t="shared" si="82"/>
        <v>19.849999999998545</v>
      </c>
      <c r="G1773" s="3">
        <f t="shared" si="83"/>
        <v>21.302666837006353</v>
      </c>
      <c r="H1773" t="str">
        <f t="shared" si="81"/>
        <v>2026-09</v>
      </c>
      <c r="I1773">
        <v>3</v>
      </c>
    </row>
    <row r="1774" spans="1:9" x14ac:dyDescent="0.25">
      <c r="A1774" t="s">
        <v>1779</v>
      </c>
      <c r="B1774">
        <v>23749.35</v>
      </c>
      <c r="C1774">
        <v>23765.7</v>
      </c>
      <c r="D1774">
        <v>23737.9</v>
      </c>
      <c r="E1774">
        <v>23759.4</v>
      </c>
      <c r="F1774" s="2">
        <f t="shared" si="82"/>
        <v>27.799999999999272</v>
      </c>
      <c r="G1774" s="3">
        <f t="shared" si="83"/>
        <v>21.766762062934419</v>
      </c>
      <c r="H1774" t="str">
        <f t="shared" si="81"/>
        <v>2026-09</v>
      </c>
      <c r="I1774">
        <v>3</v>
      </c>
    </row>
    <row r="1775" spans="1:9" x14ac:dyDescent="0.25">
      <c r="A1775" t="s">
        <v>1780</v>
      </c>
      <c r="B1775">
        <v>23747.65</v>
      </c>
      <c r="C1775">
        <v>23758.95</v>
      </c>
      <c r="D1775">
        <v>23669.200000000001</v>
      </c>
      <c r="E1775">
        <v>23672.5</v>
      </c>
      <c r="F1775" s="2">
        <f t="shared" si="82"/>
        <v>90.200000000000728</v>
      </c>
      <c r="G1775" s="3">
        <f t="shared" si="83"/>
        <v>26.654850487010581</v>
      </c>
      <c r="H1775" t="str">
        <f t="shared" si="81"/>
        <v>2026-09</v>
      </c>
      <c r="I1775">
        <v>3</v>
      </c>
    </row>
    <row r="1776" spans="1:9" x14ac:dyDescent="0.25">
      <c r="A1776" t="s">
        <v>1781</v>
      </c>
      <c r="B1776">
        <v>23670.85</v>
      </c>
      <c r="C1776">
        <v>23692.45</v>
      </c>
      <c r="D1776">
        <v>23668.15</v>
      </c>
      <c r="E1776">
        <v>23674.35</v>
      </c>
      <c r="F1776" s="2">
        <f t="shared" si="82"/>
        <v>24.299999999999272</v>
      </c>
      <c r="G1776" s="3">
        <f t="shared" si="83"/>
        <v>26.486646880795487</v>
      </c>
      <c r="H1776" t="str">
        <f t="shared" si="81"/>
        <v>2026-09</v>
      </c>
      <c r="I1776">
        <v>3</v>
      </c>
    </row>
    <row r="1777" spans="1:9" x14ac:dyDescent="0.25">
      <c r="A1777" t="s">
        <v>1782</v>
      </c>
      <c r="B1777">
        <v>23673.9</v>
      </c>
      <c r="C1777">
        <v>23691.599999999999</v>
      </c>
      <c r="D1777">
        <v>23664.7</v>
      </c>
      <c r="E1777">
        <v>23666.95</v>
      </c>
      <c r="F1777" s="2">
        <f t="shared" si="82"/>
        <v>26.899999999997817</v>
      </c>
      <c r="G1777" s="3">
        <f t="shared" si="83"/>
        <v>26.516172103595654</v>
      </c>
      <c r="H1777" t="str">
        <f t="shared" si="81"/>
        <v>2026-09</v>
      </c>
      <c r="I1777">
        <v>3</v>
      </c>
    </row>
    <row r="1778" spans="1:9" x14ac:dyDescent="0.25">
      <c r="A1778" t="s">
        <v>1783</v>
      </c>
      <c r="B1778">
        <v>23666.65</v>
      </c>
      <c r="C1778">
        <v>23708.5</v>
      </c>
      <c r="D1778">
        <v>23657.15</v>
      </c>
      <c r="E1778">
        <v>23707.9</v>
      </c>
      <c r="F1778" s="2">
        <f t="shared" si="82"/>
        <v>51.349999999998545</v>
      </c>
      <c r="G1778" s="3">
        <f t="shared" si="83"/>
        <v>28.290016953338718</v>
      </c>
      <c r="H1778" t="str">
        <f t="shared" si="81"/>
        <v>2026-09</v>
      </c>
      <c r="I1778">
        <v>3</v>
      </c>
    </row>
    <row r="1779" spans="1:9" x14ac:dyDescent="0.25">
      <c r="A1779" t="s">
        <v>1784</v>
      </c>
      <c r="B1779">
        <v>23708.75</v>
      </c>
      <c r="C1779">
        <v>23717.25</v>
      </c>
      <c r="D1779">
        <v>23686.6</v>
      </c>
      <c r="E1779">
        <v>23693.9</v>
      </c>
      <c r="F1779" s="2">
        <f t="shared" si="82"/>
        <v>30.650000000001455</v>
      </c>
      <c r="G1779" s="3">
        <f t="shared" si="83"/>
        <v>28.458587170957486</v>
      </c>
      <c r="H1779" t="str">
        <f t="shared" si="81"/>
        <v>2026-09</v>
      </c>
      <c r="I1779">
        <v>3</v>
      </c>
    </row>
    <row r="1780" spans="1:9" x14ac:dyDescent="0.25">
      <c r="A1780" t="s">
        <v>1785</v>
      </c>
      <c r="B1780">
        <v>23694.6</v>
      </c>
      <c r="C1780">
        <v>23701.599999999999</v>
      </c>
      <c r="D1780">
        <v>23667.75</v>
      </c>
      <c r="E1780">
        <v>23669.3</v>
      </c>
      <c r="F1780" s="2">
        <f t="shared" si="82"/>
        <v>33.849999999998545</v>
      </c>
      <c r="G1780" s="3">
        <f t="shared" si="83"/>
        <v>28.84368808731756</v>
      </c>
      <c r="H1780" t="str">
        <f t="shared" si="81"/>
        <v>2026-09</v>
      </c>
      <c r="I1780">
        <v>3</v>
      </c>
    </row>
    <row r="1781" spans="1:9" x14ac:dyDescent="0.25">
      <c r="A1781" t="s">
        <v>1786</v>
      </c>
      <c r="B1781">
        <v>23669.8</v>
      </c>
      <c r="C1781">
        <v>23698.6</v>
      </c>
      <c r="D1781">
        <v>23669.3</v>
      </c>
      <c r="E1781">
        <v>23670.35</v>
      </c>
      <c r="F1781" s="2">
        <f t="shared" si="82"/>
        <v>29.299999999999272</v>
      </c>
      <c r="G1781" s="3">
        <f t="shared" si="83"/>
        <v>28.876281795366253</v>
      </c>
      <c r="H1781" t="str">
        <f t="shared" si="81"/>
        <v>2026-09</v>
      </c>
      <c r="I1781">
        <v>3</v>
      </c>
    </row>
    <row r="1782" spans="1:9" x14ac:dyDescent="0.25">
      <c r="A1782" t="s">
        <v>1787</v>
      </c>
      <c r="B1782">
        <v>23671.05</v>
      </c>
      <c r="C1782">
        <v>23681.1</v>
      </c>
      <c r="D1782">
        <v>23662.1</v>
      </c>
      <c r="E1782">
        <v>23677.65</v>
      </c>
      <c r="F1782" s="2">
        <f t="shared" si="82"/>
        <v>19</v>
      </c>
      <c r="G1782" s="3">
        <f t="shared" si="83"/>
        <v>28.170833095697237</v>
      </c>
      <c r="H1782" t="str">
        <f t="shared" si="81"/>
        <v>2026-09</v>
      </c>
      <c r="I1782">
        <v>3</v>
      </c>
    </row>
    <row r="1783" spans="1:9" x14ac:dyDescent="0.25">
      <c r="A1783" t="s">
        <v>1788</v>
      </c>
      <c r="B1783">
        <v>23678.25</v>
      </c>
      <c r="C1783">
        <v>23687.599999999999</v>
      </c>
      <c r="D1783">
        <v>23670.65</v>
      </c>
      <c r="E1783">
        <v>23672.9</v>
      </c>
      <c r="F1783" s="2">
        <f t="shared" si="82"/>
        <v>16.94999999999709</v>
      </c>
      <c r="G1783" s="3">
        <f t="shared" si="83"/>
        <v>27.369345017432941</v>
      </c>
      <c r="H1783" t="str">
        <f t="shared" si="81"/>
        <v>2026-09</v>
      </c>
      <c r="I1783">
        <v>3</v>
      </c>
    </row>
    <row r="1784" spans="1:9" x14ac:dyDescent="0.25">
      <c r="A1784" t="s">
        <v>1789</v>
      </c>
      <c r="B1784">
        <v>23673.85</v>
      </c>
      <c r="C1784">
        <v>23680.7</v>
      </c>
      <c r="D1784">
        <v>23663.7</v>
      </c>
      <c r="E1784">
        <v>23673.35</v>
      </c>
      <c r="F1784" s="2">
        <f t="shared" si="82"/>
        <v>17</v>
      </c>
      <c r="G1784" s="3">
        <f t="shared" si="83"/>
        <v>26.628677516187732</v>
      </c>
      <c r="H1784" t="str">
        <f t="shared" si="81"/>
        <v>2026-09</v>
      </c>
      <c r="I1784">
        <v>3</v>
      </c>
    </row>
    <row r="1785" spans="1:9" x14ac:dyDescent="0.25">
      <c r="A1785" t="s">
        <v>1790</v>
      </c>
      <c r="B1785">
        <v>23673.3</v>
      </c>
      <c r="C1785">
        <v>23677.200000000001</v>
      </c>
      <c r="D1785">
        <v>23653</v>
      </c>
      <c r="E1785">
        <v>23657.25</v>
      </c>
      <c r="F1785" s="2">
        <f t="shared" si="82"/>
        <v>24.200000000000728</v>
      </c>
      <c r="G1785" s="3">
        <f t="shared" si="83"/>
        <v>26.455200550745804</v>
      </c>
      <c r="H1785" t="str">
        <f t="shared" si="81"/>
        <v>2026-09</v>
      </c>
      <c r="I1785">
        <v>3</v>
      </c>
    </row>
    <row r="1786" spans="1:9" x14ac:dyDescent="0.25">
      <c r="A1786" t="s">
        <v>1791</v>
      </c>
      <c r="B1786">
        <v>23658</v>
      </c>
      <c r="C1786">
        <v>23658.55</v>
      </c>
      <c r="D1786">
        <v>23637.75</v>
      </c>
      <c r="E1786">
        <v>23649.7</v>
      </c>
      <c r="F1786" s="2">
        <f t="shared" si="82"/>
        <v>20.799999999999272</v>
      </c>
      <c r="G1786" s="3">
        <f t="shared" si="83"/>
        <v>26.05125765426391</v>
      </c>
      <c r="H1786" t="str">
        <f t="shared" si="81"/>
        <v>2026-09</v>
      </c>
      <c r="I1786">
        <v>3</v>
      </c>
    </row>
    <row r="1787" spans="1:9" x14ac:dyDescent="0.25">
      <c r="A1787" t="s">
        <v>1792</v>
      </c>
      <c r="B1787">
        <v>23650.6</v>
      </c>
      <c r="C1787">
        <v>23663</v>
      </c>
      <c r="D1787">
        <v>23644.2</v>
      </c>
      <c r="E1787">
        <v>23662.6</v>
      </c>
      <c r="F1787" s="2">
        <f t="shared" si="82"/>
        <v>18.799999999999272</v>
      </c>
      <c r="G1787" s="3">
        <f t="shared" si="83"/>
        <v>25.533310678959293</v>
      </c>
      <c r="H1787" t="str">
        <f t="shared" si="81"/>
        <v>2026-09</v>
      </c>
      <c r="I1787">
        <v>3</v>
      </c>
    </row>
    <row r="1788" spans="1:9" x14ac:dyDescent="0.25">
      <c r="A1788" t="s">
        <v>1793</v>
      </c>
      <c r="B1788">
        <v>23662.95</v>
      </c>
      <c r="C1788">
        <v>23675.1</v>
      </c>
      <c r="D1788">
        <v>23657.3</v>
      </c>
      <c r="E1788">
        <v>23660.65</v>
      </c>
      <c r="F1788" s="2">
        <f t="shared" si="82"/>
        <v>17.799999999999272</v>
      </c>
      <c r="G1788" s="3">
        <f t="shared" si="83"/>
        <v>24.980931344747862</v>
      </c>
      <c r="H1788" t="str">
        <f t="shared" si="81"/>
        <v>2026-09</v>
      </c>
      <c r="I1788">
        <v>3</v>
      </c>
    </row>
    <row r="1789" spans="1:9" x14ac:dyDescent="0.25">
      <c r="A1789" t="s">
        <v>1794</v>
      </c>
      <c r="B1789">
        <v>23660.799999999999</v>
      </c>
      <c r="C1789">
        <v>23663.85</v>
      </c>
      <c r="D1789">
        <v>23648.35</v>
      </c>
      <c r="E1789">
        <v>23655.1</v>
      </c>
      <c r="F1789" s="2">
        <f t="shared" si="82"/>
        <v>15.5</v>
      </c>
      <c r="G1789" s="3">
        <f t="shared" si="83"/>
        <v>24.303721962980156</v>
      </c>
      <c r="H1789" t="str">
        <f t="shared" si="81"/>
        <v>2026-09</v>
      </c>
      <c r="I1789">
        <v>3</v>
      </c>
    </row>
    <row r="1790" spans="1:9" x14ac:dyDescent="0.25">
      <c r="A1790" t="s">
        <v>1795</v>
      </c>
      <c r="B1790">
        <v>23655.75</v>
      </c>
      <c r="C1790">
        <v>23662.25</v>
      </c>
      <c r="D1790">
        <v>23649.15</v>
      </c>
      <c r="E1790">
        <v>23661.3</v>
      </c>
      <c r="F1790" s="2">
        <f t="shared" si="82"/>
        <v>13.099999999998545</v>
      </c>
      <c r="G1790" s="3">
        <f t="shared" si="83"/>
        <v>23.503456108481469</v>
      </c>
      <c r="H1790" t="str">
        <f t="shared" si="81"/>
        <v>2026-09</v>
      </c>
      <c r="I1790">
        <v>3</v>
      </c>
    </row>
    <row r="1791" spans="1:9" x14ac:dyDescent="0.25">
      <c r="A1791" t="s">
        <v>1796</v>
      </c>
      <c r="B1791">
        <v>23661.7</v>
      </c>
      <c r="C1791">
        <v>23662.85</v>
      </c>
      <c r="D1791">
        <v>23645.599999999999</v>
      </c>
      <c r="E1791">
        <v>23647.05</v>
      </c>
      <c r="F1791" s="2">
        <f t="shared" si="82"/>
        <v>17.25</v>
      </c>
      <c r="G1791" s="3">
        <f t="shared" si="83"/>
        <v>23.056780672161363</v>
      </c>
      <c r="H1791" t="str">
        <f t="shared" si="81"/>
        <v>2026-09</v>
      </c>
      <c r="I1791">
        <v>3</v>
      </c>
    </row>
    <row r="1792" spans="1:9" x14ac:dyDescent="0.25">
      <c r="A1792" t="s">
        <v>1797</v>
      </c>
      <c r="B1792">
        <v>23648.45</v>
      </c>
      <c r="C1792">
        <v>23653.95</v>
      </c>
      <c r="D1792">
        <v>23638.1</v>
      </c>
      <c r="E1792">
        <v>23638.55</v>
      </c>
      <c r="F1792" s="2">
        <f t="shared" si="82"/>
        <v>15.850000000002183</v>
      </c>
      <c r="G1792" s="3">
        <f t="shared" si="83"/>
        <v>22.542010624149992</v>
      </c>
      <c r="H1792" t="str">
        <f t="shared" si="81"/>
        <v>2026-09</v>
      </c>
      <c r="I1792">
        <v>3</v>
      </c>
    </row>
    <row r="1793" spans="1:9" x14ac:dyDescent="0.25">
      <c r="A1793" t="s">
        <v>1798</v>
      </c>
      <c r="B1793">
        <v>23640.25</v>
      </c>
      <c r="C1793">
        <v>23645.65</v>
      </c>
      <c r="D1793">
        <v>23623.1</v>
      </c>
      <c r="E1793">
        <v>23633.75</v>
      </c>
      <c r="F1793" s="2">
        <f t="shared" si="82"/>
        <v>22.55000000000291</v>
      </c>
      <c r="G1793" s="3">
        <f t="shared" si="83"/>
        <v>22.542581293853772</v>
      </c>
      <c r="H1793" t="str">
        <f t="shared" si="81"/>
        <v>2026-09</v>
      </c>
      <c r="I1793">
        <v>3</v>
      </c>
    </row>
    <row r="1794" spans="1:9" x14ac:dyDescent="0.25">
      <c r="A1794" t="s">
        <v>1799</v>
      </c>
      <c r="B1794">
        <v>23634.799999999999</v>
      </c>
      <c r="C1794">
        <v>23656.9</v>
      </c>
      <c r="D1794">
        <v>23633</v>
      </c>
      <c r="E1794">
        <v>23649.1</v>
      </c>
      <c r="F1794" s="2">
        <f t="shared" si="82"/>
        <v>23.900000000001455</v>
      </c>
      <c r="G1794" s="3">
        <f t="shared" si="83"/>
        <v>22.639539772864321</v>
      </c>
      <c r="H1794" t="str">
        <f t="shared" ref="H1794:H1857" si="84">LEFT(A1794,7)</f>
        <v>2026-09</v>
      </c>
      <c r="I1794">
        <v>3</v>
      </c>
    </row>
    <row r="1795" spans="1:9" x14ac:dyDescent="0.25">
      <c r="A1795" t="s">
        <v>1800</v>
      </c>
      <c r="B1795">
        <v>23649.9</v>
      </c>
      <c r="C1795">
        <v>23659.25</v>
      </c>
      <c r="D1795">
        <v>23642.7</v>
      </c>
      <c r="E1795">
        <v>23654</v>
      </c>
      <c r="F1795" s="2">
        <f t="shared" ref="F1795:F1858" si="85">MAX(C1795-D1795,ABS(C1795-E1794),ABS(D1795-E1794))</f>
        <v>16.549999999999272</v>
      </c>
      <c r="G1795" s="3">
        <f t="shared" si="83"/>
        <v>22.204572646231103</v>
      </c>
      <c r="H1795" t="str">
        <f t="shared" si="84"/>
        <v>2026-09</v>
      </c>
      <c r="I1795">
        <v>3</v>
      </c>
    </row>
    <row r="1796" spans="1:9" x14ac:dyDescent="0.25">
      <c r="A1796" t="s">
        <v>1801</v>
      </c>
      <c r="B1796">
        <v>23654.95</v>
      </c>
      <c r="C1796">
        <v>23658.85</v>
      </c>
      <c r="D1796">
        <v>23645.5</v>
      </c>
      <c r="E1796">
        <v>23648.15</v>
      </c>
      <c r="F1796" s="2">
        <f t="shared" si="85"/>
        <v>13.349999999998545</v>
      </c>
      <c r="G1796" s="3">
        <f t="shared" si="83"/>
        <v>21.572103171500206</v>
      </c>
      <c r="H1796" t="str">
        <f t="shared" si="84"/>
        <v>2026-09</v>
      </c>
      <c r="I1796">
        <v>3</v>
      </c>
    </row>
    <row r="1797" spans="1:9" x14ac:dyDescent="0.25">
      <c r="A1797" t="s">
        <v>1802</v>
      </c>
      <c r="B1797">
        <v>23648.7</v>
      </c>
      <c r="C1797">
        <v>23649.200000000001</v>
      </c>
      <c r="D1797">
        <v>23637.5</v>
      </c>
      <c r="E1797">
        <v>23644.55</v>
      </c>
      <c r="F1797" s="2">
        <f t="shared" si="85"/>
        <v>11.700000000000728</v>
      </c>
      <c r="G1797" s="3">
        <f t="shared" si="83"/>
        <v>20.866952944964531</v>
      </c>
      <c r="H1797" t="str">
        <f t="shared" si="84"/>
        <v>2026-09</v>
      </c>
      <c r="I1797">
        <v>3</v>
      </c>
    </row>
    <row r="1798" spans="1:9" x14ac:dyDescent="0.25">
      <c r="A1798" t="s">
        <v>1803</v>
      </c>
      <c r="B1798">
        <v>23642.75</v>
      </c>
      <c r="C1798">
        <v>23659.3</v>
      </c>
      <c r="D1798">
        <v>23634.1</v>
      </c>
      <c r="E1798">
        <v>23641.1</v>
      </c>
      <c r="F1798" s="2">
        <f t="shared" si="85"/>
        <v>25.200000000000728</v>
      </c>
      <c r="G1798" s="3">
        <f t="shared" si="83"/>
        <v>21.176456306038546</v>
      </c>
      <c r="H1798" t="str">
        <f t="shared" si="84"/>
        <v>2026-09</v>
      </c>
      <c r="I1798">
        <v>3</v>
      </c>
    </row>
    <row r="1799" spans="1:9" x14ac:dyDescent="0.25">
      <c r="A1799" t="s">
        <v>1804</v>
      </c>
      <c r="B1799">
        <v>23526.35</v>
      </c>
      <c r="C1799">
        <v>23536.5</v>
      </c>
      <c r="D1799">
        <v>23477.55</v>
      </c>
      <c r="E1799">
        <v>23509.4</v>
      </c>
      <c r="F1799" s="2">
        <f t="shared" si="85"/>
        <v>163.54999999999927</v>
      </c>
      <c r="G1799" s="3">
        <f t="shared" si="83"/>
        <v>31.345995141321453</v>
      </c>
      <c r="H1799" t="str">
        <f t="shared" si="84"/>
        <v>2026-09</v>
      </c>
      <c r="I1799">
        <v>3</v>
      </c>
    </row>
    <row r="1800" spans="1:9" x14ac:dyDescent="0.25">
      <c r="A1800" t="s">
        <v>1805</v>
      </c>
      <c r="B1800">
        <v>23510.85</v>
      </c>
      <c r="C1800">
        <v>23533.45</v>
      </c>
      <c r="D1800">
        <v>23506.2</v>
      </c>
      <c r="E1800">
        <v>23525.45</v>
      </c>
      <c r="F1800" s="2">
        <f t="shared" si="85"/>
        <v>27.25</v>
      </c>
      <c r="G1800" s="3">
        <f t="shared" si="83"/>
        <v>31.053424059798491</v>
      </c>
      <c r="H1800" t="str">
        <f t="shared" si="84"/>
        <v>2026-09</v>
      </c>
      <c r="I1800">
        <v>3</v>
      </c>
    </row>
    <row r="1801" spans="1:9" x14ac:dyDescent="0.25">
      <c r="A1801" t="s">
        <v>1806</v>
      </c>
      <c r="B1801">
        <v>23526.6</v>
      </c>
      <c r="C1801">
        <v>23527.75</v>
      </c>
      <c r="D1801">
        <v>23484.400000000001</v>
      </c>
      <c r="E1801">
        <v>23488.7</v>
      </c>
      <c r="F1801" s="2">
        <f t="shared" si="85"/>
        <v>43.349999999998545</v>
      </c>
      <c r="G1801" s="3">
        <f t="shared" si="83"/>
        <v>31.931750912669923</v>
      </c>
      <c r="H1801" t="str">
        <f t="shared" si="84"/>
        <v>2026-09</v>
      </c>
      <c r="I1801">
        <v>3</v>
      </c>
    </row>
    <row r="1802" spans="1:9" x14ac:dyDescent="0.25">
      <c r="A1802" t="s">
        <v>1807</v>
      </c>
      <c r="B1802">
        <v>23488.85</v>
      </c>
      <c r="C1802">
        <v>23491</v>
      </c>
      <c r="D1802">
        <v>23466.65</v>
      </c>
      <c r="E1802">
        <v>23485.4</v>
      </c>
      <c r="F1802" s="2">
        <f t="shared" si="85"/>
        <v>24.349999999998545</v>
      </c>
      <c r="G1802" s="3">
        <f t="shared" si="83"/>
        <v>31.390197276050539</v>
      </c>
      <c r="H1802" t="str">
        <f t="shared" si="84"/>
        <v>2026-09</v>
      </c>
      <c r="I1802">
        <v>3</v>
      </c>
    </row>
    <row r="1803" spans="1:9" x14ac:dyDescent="0.25">
      <c r="A1803" t="s">
        <v>1808</v>
      </c>
      <c r="B1803">
        <v>23484.85</v>
      </c>
      <c r="C1803">
        <v>23549.3</v>
      </c>
      <c r="D1803">
        <v>23484.7</v>
      </c>
      <c r="E1803">
        <v>23539.5</v>
      </c>
      <c r="F1803" s="2">
        <f t="shared" si="85"/>
        <v>64.599999999998545</v>
      </c>
      <c r="G1803" s="3">
        <f t="shared" si="83"/>
        <v>33.76232604204683</v>
      </c>
      <c r="H1803" t="str">
        <f t="shared" si="84"/>
        <v>2026-09</v>
      </c>
      <c r="I1803">
        <v>3</v>
      </c>
    </row>
    <row r="1804" spans="1:9" x14ac:dyDescent="0.25">
      <c r="A1804" t="s">
        <v>1809</v>
      </c>
      <c r="B1804">
        <v>23539.65</v>
      </c>
      <c r="C1804">
        <v>23545.45</v>
      </c>
      <c r="D1804">
        <v>23501.599999999999</v>
      </c>
      <c r="E1804">
        <v>23509.85</v>
      </c>
      <c r="F1804" s="2">
        <f t="shared" si="85"/>
        <v>43.850000000002183</v>
      </c>
      <c r="G1804" s="3">
        <f t="shared" si="83"/>
        <v>34.482874181900783</v>
      </c>
      <c r="H1804" t="str">
        <f t="shared" si="84"/>
        <v>2026-09</v>
      </c>
      <c r="I1804">
        <v>3</v>
      </c>
    </row>
    <row r="1805" spans="1:9" x14ac:dyDescent="0.25">
      <c r="A1805" t="s">
        <v>1810</v>
      </c>
      <c r="B1805">
        <v>23509.75</v>
      </c>
      <c r="C1805">
        <v>23537.15</v>
      </c>
      <c r="D1805">
        <v>23507.85</v>
      </c>
      <c r="E1805">
        <v>23535.599999999999</v>
      </c>
      <c r="F1805" s="2">
        <f t="shared" si="85"/>
        <v>29.30000000000291</v>
      </c>
      <c r="G1805" s="3">
        <f t="shared" si="83"/>
        <v>34.112668883193791</v>
      </c>
      <c r="H1805" t="str">
        <f t="shared" si="84"/>
        <v>2026-09</v>
      </c>
      <c r="I1805">
        <v>3</v>
      </c>
    </row>
    <row r="1806" spans="1:9" x14ac:dyDescent="0.25">
      <c r="A1806" t="s">
        <v>1811</v>
      </c>
      <c r="B1806">
        <v>23536.65</v>
      </c>
      <c r="C1806">
        <v>23543.7</v>
      </c>
      <c r="D1806">
        <v>23524</v>
      </c>
      <c r="E1806">
        <v>23524.95</v>
      </c>
      <c r="F1806" s="2">
        <f t="shared" si="85"/>
        <v>19.700000000000728</v>
      </c>
      <c r="G1806" s="3">
        <f t="shared" si="83"/>
        <v>33.083192534394286</v>
      </c>
      <c r="H1806" t="str">
        <f t="shared" si="84"/>
        <v>2026-09</v>
      </c>
      <c r="I1806">
        <v>3</v>
      </c>
    </row>
    <row r="1807" spans="1:9" x14ac:dyDescent="0.25">
      <c r="A1807" t="s">
        <v>1812</v>
      </c>
      <c r="B1807">
        <v>23527</v>
      </c>
      <c r="C1807">
        <v>23531.4</v>
      </c>
      <c r="D1807">
        <v>23512.6</v>
      </c>
      <c r="E1807">
        <v>23517.5</v>
      </c>
      <c r="F1807" s="2">
        <f t="shared" si="85"/>
        <v>18.80000000000291</v>
      </c>
      <c r="G1807" s="3">
        <f t="shared" si="83"/>
        <v>32.062964496223472</v>
      </c>
      <c r="H1807" t="str">
        <f t="shared" si="84"/>
        <v>2026-09</v>
      </c>
      <c r="I1807">
        <v>3</v>
      </c>
    </row>
    <row r="1808" spans="1:9" x14ac:dyDescent="0.25">
      <c r="A1808" t="s">
        <v>1813</v>
      </c>
      <c r="B1808">
        <v>23517.1</v>
      </c>
      <c r="C1808">
        <v>23531.45</v>
      </c>
      <c r="D1808">
        <v>23513.15</v>
      </c>
      <c r="E1808">
        <v>23528.05</v>
      </c>
      <c r="F1808" s="2">
        <f t="shared" si="85"/>
        <v>18.299999999999272</v>
      </c>
      <c r="G1808" s="3">
        <f t="shared" ref="G1808:G1871" si="86">(G1807*13+F1808)/14</f>
        <v>31.079895603636029</v>
      </c>
      <c r="H1808" t="str">
        <f t="shared" si="84"/>
        <v>2026-09</v>
      </c>
      <c r="I1808">
        <v>3</v>
      </c>
    </row>
    <row r="1809" spans="1:9" x14ac:dyDescent="0.25">
      <c r="A1809" t="s">
        <v>1814</v>
      </c>
      <c r="B1809">
        <v>23528.75</v>
      </c>
      <c r="C1809">
        <v>23532.35</v>
      </c>
      <c r="D1809">
        <v>23486.95</v>
      </c>
      <c r="E1809">
        <v>23488.2</v>
      </c>
      <c r="F1809" s="2">
        <f t="shared" si="85"/>
        <v>45.399999999997817</v>
      </c>
      <c r="G1809" s="3">
        <f t="shared" si="86"/>
        <v>32.102760203376157</v>
      </c>
      <c r="H1809" t="str">
        <f t="shared" si="84"/>
        <v>2026-09</v>
      </c>
      <c r="I1809">
        <v>3</v>
      </c>
    </row>
    <row r="1810" spans="1:9" x14ac:dyDescent="0.25">
      <c r="A1810" t="s">
        <v>1815</v>
      </c>
      <c r="B1810">
        <v>23488.5</v>
      </c>
      <c r="C1810">
        <v>23491.7</v>
      </c>
      <c r="D1810">
        <v>23470.85</v>
      </c>
      <c r="E1810">
        <v>23486.65</v>
      </c>
      <c r="F1810" s="2">
        <f t="shared" si="85"/>
        <v>20.850000000002183</v>
      </c>
      <c r="G1810" s="3">
        <f t="shared" si="86"/>
        <v>31.298991617420874</v>
      </c>
      <c r="H1810" t="str">
        <f t="shared" si="84"/>
        <v>2026-09</v>
      </c>
      <c r="I1810">
        <v>3</v>
      </c>
    </row>
    <row r="1811" spans="1:9" x14ac:dyDescent="0.25">
      <c r="A1811" t="s">
        <v>1816</v>
      </c>
      <c r="B1811">
        <v>23487.8</v>
      </c>
      <c r="C1811">
        <v>23511.1</v>
      </c>
      <c r="D1811">
        <v>23477.05</v>
      </c>
      <c r="E1811">
        <v>23510.75</v>
      </c>
      <c r="F1811" s="2">
        <f t="shared" si="85"/>
        <v>34.049999999999272</v>
      </c>
      <c r="G1811" s="3">
        <f t="shared" si="86"/>
        <v>31.495492216176473</v>
      </c>
      <c r="H1811" t="str">
        <f t="shared" si="84"/>
        <v>2026-09</v>
      </c>
      <c r="I1811">
        <v>3</v>
      </c>
    </row>
    <row r="1812" spans="1:9" x14ac:dyDescent="0.25">
      <c r="A1812" t="s">
        <v>1817</v>
      </c>
      <c r="B1812">
        <v>23510.6</v>
      </c>
      <c r="C1812">
        <v>23571.55</v>
      </c>
      <c r="D1812">
        <v>23510.6</v>
      </c>
      <c r="E1812">
        <v>23565.95</v>
      </c>
      <c r="F1812" s="2">
        <f t="shared" si="85"/>
        <v>60.950000000000728</v>
      </c>
      <c r="G1812" s="3">
        <f t="shared" si="86"/>
        <v>33.599385629306774</v>
      </c>
      <c r="H1812" t="str">
        <f t="shared" si="84"/>
        <v>2026-09</v>
      </c>
      <c r="I1812">
        <v>3</v>
      </c>
    </row>
    <row r="1813" spans="1:9" x14ac:dyDescent="0.25">
      <c r="A1813" t="s">
        <v>1818</v>
      </c>
      <c r="B1813">
        <v>23566.15</v>
      </c>
      <c r="C1813">
        <v>23568.65</v>
      </c>
      <c r="D1813">
        <v>23542.7</v>
      </c>
      <c r="E1813">
        <v>23566</v>
      </c>
      <c r="F1813" s="2">
        <f t="shared" si="85"/>
        <v>25.950000000000728</v>
      </c>
      <c r="G1813" s="3">
        <f t="shared" si="86"/>
        <v>33.053000941499199</v>
      </c>
      <c r="H1813" t="str">
        <f t="shared" si="84"/>
        <v>2026-09</v>
      </c>
      <c r="I1813">
        <v>3</v>
      </c>
    </row>
    <row r="1814" spans="1:9" x14ac:dyDescent="0.25">
      <c r="A1814" t="s">
        <v>1819</v>
      </c>
      <c r="B1814">
        <v>23566.2</v>
      </c>
      <c r="C1814">
        <v>23569.599999999999</v>
      </c>
      <c r="D1814">
        <v>23537.15</v>
      </c>
      <c r="E1814">
        <v>23543.95</v>
      </c>
      <c r="F1814" s="2">
        <f t="shared" si="85"/>
        <v>32.44999999999709</v>
      </c>
      <c r="G1814" s="3">
        <f t="shared" si="86"/>
        <v>33.009929445677621</v>
      </c>
      <c r="H1814" t="str">
        <f t="shared" si="84"/>
        <v>2026-09</v>
      </c>
      <c r="I1814">
        <v>3</v>
      </c>
    </row>
    <row r="1815" spans="1:9" x14ac:dyDescent="0.25">
      <c r="A1815" t="s">
        <v>1820</v>
      </c>
      <c r="B1815">
        <v>23544.3</v>
      </c>
      <c r="C1815">
        <v>23560.05</v>
      </c>
      <c r="D1815">
        <v>23536.95</v>
      </c>
      <c r="E1815">
        <v>23558.55</v>
      </c>
      <c r="F1815" s="2">
        <f t="shared" si="85"/>
        <v>23.099999999998545</v>
      </c>
      <c r="G1815" s="3">
        <f t="shared" si="86"/>
        <v>32.302077342414826</v>
      </c>
      <c r="H1815" t="str">
        <f t="shared" si="84"/>
        <v>2026-09</v>
      </c>
      <c r="I1815">
        <v>3</v>
      </c>
    </row>
    <row r="1816" spans="1:9" x14ac:dyDescent="0.25">
      <c r="A1816" t="s">
        <v>1821</v>
      </c>
      <c r="B1816">
        <v>23558.45</v>
      </c>
      <c r="C1816">
        <v>23560.6</v>
      </c>
      <c r="D1816">
        <v>23542.35</v>
      </c>
      <c r="E1816">
        <v>23553.8</v>
      </c>
      <c r="F1816" s="2">
        <f t="shared" si="85"/>
        <v>18.25</v>
      </c>
      <c r="G1816" s="3">
        <f t="shared" si="86"/>
        <v>31.298357532242338</v>
      </c>
      <c r="H1816" t="str">
        <f t="shared" si="84"/>
        <v>2026-09</v>
      </c>
      <c r="I1816">
        <v>3</v>
      </c>
    </row>
    <row r="1817" spans="1:9" x14ac:dyDescent="0.25">
      <c r="A1817" t="s">
        <v>1822</v>
      </c>
      <c r="B1817">
        <v>23554.1</v>
      </c>
      <c r="C1817">
        <v>23559.25</v>
      </c>
      <c r="D1817">
        <v>23536.65</v>
      </c>
      <c r="E1817">
        <v>23551.75</v>
      </c>
      <c r="F1817" s="2">
        <f t="shared" si="85"/>
        <v>22.599999999998545</v>
      </c>
      <c r="G1817" s="3">
        <f t="shared" si="86"/>
        <v>30.677046279939212</v>
      </c>
      <c r="H1817" t="str">
        <f t="shared" si="84"/>
        <v>2026-09</v>
      </c>
      <c r="I1817">
        <v>3</v>
      </c>
    </row>
    <row r="1818" spans="1:9" x14ac:dyDescent="0.25">
      <c r="A1818" t="s">
        <v>1823</v>
      </c>
      <c r="B1818">
        <v>23551.95</v>
      </c>
      <c r="C1818">
        <v>23568.3</v>
      </c>
      <c r="D1818">
        <v>23537.7</v>
      </c>
      <c r="E1818">
        <v>23547.200000000001</v>
      </c>
      <c r="F1818" s="2">
        <f t="shared" si="85"/>
        <v>30.599999999998545</v>
      </c>
      <c r="G1818" s="3">
        <f t="shared" si="86"/>
        <v>30.671542974229165</v>
      </c>
      <c r="H1818" t="str">
        <f t="shared" si="84"/>
        <v>2026-09</v>
      </c>
      <c r="I1818">
        <v>3</v>
      </c>
    </row>
    <row r="1819" spans="1:9" x14ac:dyDescent="0.25">
      <c r="A1819" t="s">
        <v>1824</v>
      </c>
      <c r="B1819">
        <v>23546.85</v>
      </c>
      <c r="C1819">
        <v>23549.15</v>
      </c>
      <c r="D1819">
        <v>23533.5</v>
      </c>
      <c r="E1819">
        <v>23536.1</v>
      </c>
      <c r="F1819" s="2">
        <f t="shared" si="85"/>
        <v>15.650000000001455</v>
      </c>
      <c r="G1819" s="3">
        <f t="shared" si="86"/>
        <v>29.598575618927185</v>
      </c>
      <c r="H1819" t="str">
        <f t="shared" si="84"/>
        <v>2026-09</v>
      </c>
      <c r="I1819">
        <v>3</v>
      </c>
    </row>
    <row r="1820" spans="1:9" x14ac:dyDescent="0.25">
      <c r="A1820" t="s">
        <v>1825</v>
      </c>
      <c r="B1820">
        <v>23535.65</v>
      </c>
      <c r="C1820">
        <v>23537.95</v>
      </c>
      <c r="D1820">
        <v>23485.85</v>
      </c>
      <c r="E1820">
        <v>23488</v>
      </c>
      <c r="F1820" s="2">
        <f t="shared" si="85"/>
        <v>52.100000000002183</v>
      </c>
      <c r="G1820" s="3">
        <f t="shared" si="86"/>
        <v>31.205820217575397</v>
      </c>
      <c r="H1820" t="str">
        <f t="shared" si="84"/>
        <v>2026-09</v>
      </c>
      <c r="I1820">
        <v>3</v>
      </c>
    </row>
    <row r="1821" spans="1:9" x14ac:dyDescent="0.25">
      <c r="A1821" t="s">
        <v>1826</v>
      </c>
      <c r="B1821">
        <v>23487.65</v>
      </c>
      <c r="C1821">
        <v>23494.799999999999</v>
      </c>
      <c r="D1821">
        <v>23477.65</v>
      </c>
      <c r="E1821">
        <v>23486.1</v>
      </c>
      <c r="F1821" s="2">
        <f t="shared" si="85"/>
        <v>17.149999999997817</v>
      </c>
      <c r="G1821" s="3">
        <f t="shared" si="86"/>
        <v>30.201833059176998</v>
      </c>
      <c r="H1821" t="str">
        <f t="shared" si="84"/>
        <v>2026-09</v>
      </c>
      <c r="I1821">
        <v>3</v>
      </c>
    </row>
    <row r="1822" spans="1:9" x14ac:dyDescent="0.25">
      <c r="A1822" t="s">
        <v>1827</v>
      </c>
      <c r="B1822">
        <v>23486</v>
      </c>
      <c r="C1822">
        <v>23487.8</v>
      </c>
      <c r="D1822">
        <v>23450.95</v>
      </c>
      <c r="E1822">
        <v>23462.15</v>
      </c>
      <c r="F1822" s="2">
        <f t="shared" si="85"/>
        <v>36.849999999998545</v>
      </c>
      <c r="G1822" s="3">
        <f t="shared" si="86"/>
        <v>30.676702126378537</v>
      </c>
      <c r="H1822" t="str">
        <f t="shared" si="84"/>
        <v>2026-09</v>
      </c>
      <c r="I1822">
        <v>3</v>
      </c>
    </row>
    <row r="1823" spans="1:9" x14ac:dyDescent="0.25">
      <c r="A1823" t="s">
        <v>1828</v>
      </c>
      <c r="B1823">
        <v>23449.599999999999</v>
      </c>
      <c r="C1823">
        <v>23494.95</v>
      </c>
      <c r="D1823">
        <v>23414</v>
      </c>
      <c r="E1823">
        <v>23437.200000000001</v>
      </c>
      <c r="F1823" s="2">
        <f t="shared" si="85"/>
        <v>80.950000000000728</v>
      </c>
      <c r="G1823" s="3">
        <f t="shared" si="86"/>
        <v>34.267651974494406</v>
      </c>
      <c r="H1823" t="str">
        <f t="shared" si="84"/>
        <v>2026-09</v>
      </c>
      <c r="I1823">
        <v>3</v>
      </c>
    </row>
    <row r="1824" spans="1:9" x14ac:dyDescent="0.25">
      <c r="A1824" t="s">
        <v>1829</v>
      </c>
      <c r="B1824">
        <v>23437.35</v>
      </c>
      <c r="C1824">
        <v>23440.65</v>
      </c>
      <c r="D1824">
        <v>23409.3</v>
      </c>
      <c r="E1824">
        <v>23422.799999999999</v>
      </c>
      <c r="F1824" s="2">
        <f t="shared" si="85"/>
        <v>31.350000000002183</v>
      </c>
      <c r="G1824" s="3">
        <f t="shared" si="86"/>
        <v>34.059248262030671</v>
      </c>
      <c r="H1824" t="str">
        <f t="shared" si="84"/>
        <v>2026-09</v>
      </c>
      <c r="I1824">
        <v>3</v>
      </c>
    </row>
    <row r="1825" spans="1:9" x14ac:dyDescent="0.25">
      <c r="A1825" t="s">
        <v>1830</v>
      </c>
      <c r="B1825">
        <v>23422.6</v>
      </c>
      <c r="C1825">
        <v>23451.599999999999</v>
      </c>
      <c r="D1825">
        <v>23421.65</v>
      </c>
      <c r="E1825">
        <v>23428.15</v>
      </c>
      <c r="F1825" s="2">
        <f t="shared" si="85"/>
        <v>29.94999999999709</v>
      </c>
      <c r="G1825" s="3">
        <f t="shared" si="86"/>
        <v>33.765730529028268</v>
      </c>
      <c r="H1825" t="str">
        <f t="shared" si="84"/>
        <v>2026-09</v>
      </c>
      <c r="I1825">
        <v>3</v>
      </c>
    </row>
    <row r="1826" spans="1:9" x14ac:dyDescent="0.25">
      <c r="A1826" t="s">
        <v>1831</v>
      </c>
      <c r="B1826">
        <v>23428.05</v>
      </c>
      <c r="C1826">
        <v>23430.2</v>
      </c>
      <c r="D1826">
        <v>23404.35</v>
      </c>
      <c r="E1826">
        <v>23411.4</v>
      </c>
      <c r="F1826" s="2">
        <f t="shared" si="85"/>
        <v>25.850000000002183</v>
      </c>
      <c r="G1826" s="3">
        <f t="shared" si="86"/>
        <v>33.200321205526407</v>
      </c>
      <c r="H1826" t="str">
        <f t="shared" si="84"/>
        <v>2026-09</v>
      </c>
      <c r="I1826">
        <v>3</v>
      </c>
    </row>
    <row r="1827" spans="1:9" x14ac:dyDescent="0.25">
      <c r="A1827" t="s">
        <v>1832</v>
      </c>
      <c r="B1827">
        <v>23413.599999999999</v>
      </c>
      <c r="C1827">
        <v>23435.85</v>
      </c>
      <c r="D1827">
        <v>23412.35</v>
      </c>
      <c r="E1827">
        <v>23424.75</v>
      </c>
      <c r="F1827" s="2">
        <f t="shared" si="85"/>
        <v>24.44999999999709</v>
      </c>
      <c r="G1827" s="3">
        <f t="shared" si="86"/>
        <v>32.575298262274309</v>
      </c>
      <c r="H1827" t="str">
        <f t="shared" si="84"/>
        <v>2026-09</v>
      </c>
      <c r="I1827">
        <v>3</v>
      </c>
    </row>
    <row r="1828" spans="1:9" x14ac:dyDescent="0.25">
      <c r="A1828" t="s">
        <v>1833</v>
      </c>
      <c r="B1828">
        <v>23424.799999999999</v>
      </c>
      <c r="C1828">
        <v>23448.15</v>
      </c>
      <c r="D1828">
        <v>23424.25</v>
      </c>
      <c r="E1828">
        <v>23448</v>
      </c>
      <c r="F1828" s="2">
        <f t="shared" si="85"/>
        <v>23.900000000001455</v>
      </c>
      <c r="G1828" s="3">
        <f t="shared" si="86"/>
        <v>31.95563410068339</v>
      </c>
      <c r="H1828" t="str">
        <f t="shared" si="84"/>
        <v>2026-09</v>
      </c>
      <c r="I1828">
        <v>3</v>
      </c>
    </row>
    <row r="1829" spans="1:9" x14ac:dyDescent="0.25">
      <c r="A1829" t="s">
        <v>1834</v>
      </c>
      <c r="B1829">
        <v>23448.400000000001</v>
      </c>
      <c r="C1829">
        <v>23451.35</v>
      </c>
      <c r="D1829">
        <v>23403.05</v>
      </c>
      <c r="E1829">
        <v>23409.75</v>
      </c>
      <c r="F1829" s="2">
        <f t="shared" si="85"/>
        <v>48.299999999999272</v>
      </c>
      <c r="G1829" s="3">
        <f t="shared" si="86"/>
        <v>33.123088807777386</v>
      </c>
      <c r="H1829" t="str">
        <f t="shared" si="84"/>
        <v>2026-09</v>
      </c>
      <c r="I1829">
        <v>3</v>
      </c>
    </row>
    <row r="1830" spans="1:9" x14ac:dyDescent="0.25">
      <c r="A1830" t="s">
        <v>1835</v>
      </c>
      <c r="B1830">
        <v>23412.5</v>
      </c>
      <c r="C1830">
        <v>23439.1</v>
      </c>
      <c r="D1830">
        <v>23409.85</v>
      </c>
      <c r="E1830">
        <v>23439.1</v>
      </c>
      <c r="F1830" s="2">
        <f t="shared" si="85"/>
        <v>29.349999999998545</v>
      </c>
      <c r="G1830" s="3">
        <f t="shared" si="86"/>
        <v>32.853582464364614</v>
      </c>
      <c r="H1830" t="str">
        <f t="shared" si="84"/>
        <v>2026-09</v>
      </c>
      <c r="I1830">
        <v>3</v>
      </c>
    </row>
    <row r="1831" spans="1:9" x14ac:dyDescent="0.25">
      <c r="A1831" t="s">
        <v>1836</v>
      </c>
      <c r="B1831">
        <v>23438.95</v>
      </c>
      <c r="C1831">
        <v>23446.799999999999</v>
      </c>
      <c r="D1831">
        <v>23423.75</v>
      </c>
      <c r="E1831">
        <v>23426.95</v>
      </c>
      <c r="F1831" s="2">
        <f t="shared" si="85"/>
        <v>23.049999999999272</v>
      </c>
      <c r="G1831" s="3">
        <f t="shared" si="86"/>
        <v>32.153326574052805</v>
      </c>
      <c r="H1831" t="str">
        <f t="shared" si="84"/>
        <v>2026-09</v>
      </c>
      <c r="I1831">
        <v>3</v>
      </c>
    </row>
    <row r="1832" spans="1:9" x14ac:dyDescent="0.25">
      <c r="A1832" t="s">
        <v>1837</v>
      </c>
      <c r="B1832">
        <v>23426.7</v>
      </c>
      <c r="C1832">
        <v>23439.05</v>
      </c>
      <c r="D1832">
        <v>23405.35</v>
      </c>
      <c r="E1832">
        <v>23421.55</v>
      </c>
      <c r="F1832" s="2">
        <f t="shared" si="85"/>
        <v>33.700000000000728</v>
      </c>
      <c r="G1832" s="3">
        <f t="shared" si="86"/>
        <v>32.263803247334799</v>
      </c>
      <c r="H1832" t="str">
        <f t="shared" si="84"/>
        <v>2026-09</v>
      </c>
      <c r="I1832">
        <v>3</v>
      </c>
    </row>
    <row r="1833" spans="1:9" x14ac:dyDescent="0.25">
      <c r="A1833" t="s">
        <v>1838</v>
      </c>
      <c r="B1833">
        <v>23422.400000000001</v>
      </c>
      <c r="C1833">
        <v>23439.599999999999</v>
      </c>
      <c r="D1833">
        <v>23420.3</v>
      </c>
      <c r="E1833">
        <v>23439.1</v>
      </c>
      <c r="F1833" s="2">
        <f t="shared" si="85"/>
        <v>19.299999999999272</v>
      </c>
      <c r="G1833" s="3">
        <f t="shared" si="86"/>
        <v>31.337817301096546</v>
      </c>
      <c r="H1833" t="str">
        <f t="shared" si="84"/>
        <v>2026-09</v>
      </c>
      <c r="I1833">
        <v>3</v>
      </c>
    </row>
    <row r="1834" spans="1:9" x14ac:dyDescent="0.25">
      <c r="A1834" t="s">
        <v>1839</v>
      </c>
      <c r="B1834">
        <v>23439.4</v>
      </c>
      <c r="C1834">
        <v>23464.85</v>
      </c>
      <c r="D1834">
        <v>23437.1</v>
      </c>
      <c r="E1834">
        <v>23458.45</v>
      </c>
      <c r="F1834" s="2">
        <f t="shared" si="85"/>
        <v>27.75</v>
      </c>
      <c r="G1834" s="3">
        <f t="shared" si="86"/>
        <v>31.081544636732506</v>
      </c>
      <c r="H1834" t="str">
        <f t="shared" si="84"/>
        <v>2026-09</v>
      </c>
      <c r="I1834">
        <v>3</v>
      </c>
    </row>
    <row r="1835" spans="1:9" x14ac:dyDescent="0.25">
      <c r="A1835" t="s">
        <v>1840</v>
      </c>
      <c r="B1835">
        <v>23458.2</v>
      </c>
      <c r="C1835">
        <v>23473.9</v>
      </c>
      <c r="D1835">
        <v>23456.05</v>
      </c>
      <c r="E1835">
        <v>23457.7</v>
      </c>
      <c r="F1835" s="2">
        <f t="shared" si="85"/>
        <v>17.850000000002183</v>
      </c>
      <c r="G1835" s="3">
        <f t="shared" si="86"/>
        <v>30.136434305537481</v>
      </c>
      <c r="H1835" t="str">
        <f t="shared" si="84"/>
        <v>2026-09</v>
      </c>
      <c r="I1835">
        <v>3</v>
      </c>
    </row>
    <row r="1836" spans="1:9" x14ac:dyDescent="0.25">
      <c r="A1836" t="s">
        <v>1841</v>
      </c>
      <c r="B1836">
        <v>23457.5</v>
      </c>
      <c r="C1836">
        <v>23462</v>
      </c>
      <c r="D1836">
        <v>23439.7</v>
      </c>
      <c r="E1836">
        <v>23458.6</v>
      </c>
      <c r="F1836" s="2">
        <f t="shared" si="85"/>
        <v>22.299999999999272</v>
      </c>
      <c r="G1836" s="3">
        <f t="shared" si="86"/>
        <v>29.576688997999039</v>
      </c>
      <c r="H1836" t="str">
        <f t="shared" si="84"/>
        <v>2026-09</v>
      </c>
      <c r="I1836">
        <v>3</v>
      </c>
    </row>
    <row r="1837" spans="1:9" x14ac:dyDescent="0.25">
      <c r="A1837" t="s">
        <v>1842</v>
      </c>
      <c r="B1837">
        <v>23458.85</v>
      </c>
      <c r="C1837">
        <v>23465.200000000001</v>
      </c>
      <c r="D1837">
        <v>23437.05</v>
      </c>
      <c r="E1837">
        <v>23437.8</v>
      </c>
      <c r="F1837" s="2">
        <f t="shared" si="85"/>
        <v>28.150000000001455</v>
      </c>
      <c r="G1837" s="3">
        <f t="shared" si="86"/>
        <v>29.474782640999212</v>
      </c>
      <c r="H1837" t="str">
        <f t="shared" si="84"/>
        <v>2026-09</v>
      </c>
      <c r="I1837">
        <v>3</v>
      </c>
    </row>
    <row r="1838" spans="1:9" x14ac:dyDescent="0.25">
      <c r="A1838" t="s">
        <v>1843</v>
      </c>
      <c r="B1838">
        <v>23437.65</v>
      </c>
      <c r="C1838">
        <v>23448.45</v>
      </c>
      <c r="D1838">
        <v>23423.15</v>
      </c>
      <c r="E1838">
        <v>23448.45</v>
      </c>
      <c r="F1838" s="2">
        <f t="shared" si="85"/>
        <v>25.299999999999272</v>
      </c>
      <c r="G1838" s="3">
        <f t="shared" si="86"/>
        <v>29.176583880927787</v>
      </c>
      <c r="H1838" t="str">
        <f t="shared" si="84"/>
        <v>2026-09</v>
      </c>
      <c r="I1838">
        <v>3</v>
      </c>
    </row>
    <row r="1839" spans="1:9" x14ac:dyDescent="0.25">
      <c r="A1839" t="s">
        <v>1844</v>
      </c>
      <c r="B1839">
        <v>23447.3</v>
      </c>
      <c r="C1839">
        <v>23451.1</v>
      </c>
      <c r="D1839">
        <v>23428.7</v>
      </c>
      <c r="E1839">
        <v>23430.15</v>
      </c>
      <c r="F1839" s="2">
        <f t="shared" si="85"/>
        <v>22.399999999997817</v>
      </c>
      <c r="G1839" s="3">
        <f t="shared" si="86"/>
        <v>28.692542175147075</v>
      </c>
      <c r="H1839" t="str">
        <f t="shared" si="84"/>
        <v>2026-09</v>
      </c>
      <c r="I1839">
        <v>3</v>
      </c>
    </row>
    <row r="1840" spans="1:9" x14ac:dyDescent="0.25">
      <c r="A1840" t="s">
        <v>1845</v>
      </c>
      <c r="B1840">
        <v>23431.15</v>
      </c>
      <c r="C1840">
        <v>23446.35</v>
      </c>
      <c r="D1840">
        <v>23424.55</v>
      </c>
      <c r="E1840">
        <v>23440.05</v>
      </c>
      <c r="F1840" s="2">
        <f t="shared" si="85"/>
        <v>21.799999999999272</v>
      </c>
      <c r="G1840" s="3">
        <f t="shared" si="86"/>
        <v>28.200217734065088</v>
      </c>
      <c r="H1840" t="str">
        <f t="shared" si="84"/>
        <v>2026-09</v>
      </c>
      <c r="I1840">
        <v>3</v>
      </c>
    </row>
    <row r="1841" spans="1:9" x14ac:dyDescent="0.25">
      <c r="A1841" t="s">
        <v>1846</v>
      </c>
      <c r="B1841">
        <v>23440</v>
      </c>
      <c r="C1841">
        <v>23440.85</v>
      </c>
      <c r="D1841">
        <v>23423.05</v>
      </c>
      <c r="E1841">
        <v>23425.25</v>
      </c>
      <c r="F1841" s="2">
        <f t="shared" si="85"/>
        <v>17.799999999999272</v>
      </c>
      <c r="G1841" s="3">
        <f t="shared" si="86"/>
        <v>27.457345038774672</v>
      </c>
      <c r="H1841" t="str">
        <f t="shared" si="84"/>
        <v>2026-09</v>
      </c>
      <c r="I1841">
        <v>3</v>
      </c>
    </row>
    <row r="1842" spans="1:9" x14ac:dyDescent="0.25">
      <c r="A1842" t="s">
        <v>1847</v>
      </c>
      <c r="B1842">
        <v>23425.200000000001</v>
      </c>
      <c r="C1842">
        <v>23430.15</v>
      </c>
      <c r="D1842">
        <v>23413.8</v>
      </c>
      <c r="E1842">
        <v>23417.95</v>
      </c>
      <c r="F1842" s="2">
        <f t="shared" si="85"/>
        <v>16.350000000002183</v>
      </c>
      <c r="G1842" s="3">
        <f t="shared" si="86"/>
        <v>26.663963250290923</v>
      </c>
      <c r="H1842" t="str">
        <f t="shared" si="84"/>
        <v>2026-09</v>
      </c>
      <c r="I1842">
        <v>3</v>
      </c>
    </row>
    <row r="1843" spans="1:9" x14ac:dyDescent="0.25">
      <c r="A1843" t="s">
        <v>1848</v>
      </c>
      <c r="B1843">
        <v>23417.9</v>
      </c>
      <c r="C1843">
        <v>23428.15</v>
      </c>
      <c r="D1843">
        <v>23406.5</v>
      </c>
      <c r="E1843">
        <v>23418.55</v>
      </c>
      <c r="F1843" s="2">
        <f t="shared" si="85"/>
        <v>21.650000000001455</v>
      </c>
      <c r="G1843" s="3">
        <f t="shared" si="86"/>
        <v>26.305823018127391</v>
      </c>
      <c r="H1843" t="str">
        <f t="shared" si="84"/>
        <v>2026-09</v>
      </c>
      <c r="I1843">
        <v>3</v>
      </c>
    </row>
    <row r="1844" spans="1:9" x14ac:dyDescent="0.25">
      <c r="A1844" t="s">
        <v>1849</v>
      </c>
      <c r="B1844">
        <v>23418.65</v>
      </c>
      <c r="C1844">
        <v>23421.45</v>
      </c>
      <c r="D1844">
        <v>23397.8</v>
      </c>
      <c r="E1844">
        <v>23414.35</v>
      </c>
      <c r="F1844" s="2">
        <f t="shared" si="85"/>
        <v>23.650000000001455</v>
      </c>
      <c r="G1844" s="3">
        <f t="shared" si="86"/>
        <v>26.116121373975538</v>
      </c>
      <c r="H1844" t="str">
        <f t="shared" si="84"/>
        <v>2026-09</v>
      </c>
      <c r="I1844">
        <v>3</v>
      </c>
    </row>
    <row r="1845" spans="1:9" x14ac:dyDescent="0.25">
      <c r="A1845" t="s">
        <v>1850</v>
      </c>
      <c r="B1845">
        <v>23414.7</v>
      </c>
      <c r="C1845">
        <v>23433.35</v>
      </c>
      <c r="D1845">
        <v>23409.45</v>
      </c>
      <c r="E1845">
        <v>23412.15</v>
      </c>
      <c r="F1845" s="2">
        <f t="shared" si="85"/>
        <v>23.899999999997817</v>
      </c>
      <c r="G1845" s="3">
        <f t="shared" si="86"/>
        <v>25.957826990119987</v>
      </c>
      <c r="H1845" t="str">
        <f t="shared" si="84"/>
        <v>2026-09</v>
      </c>
      <c r="I1845">
        <v>3</v>
      </c>
    </row>
    <row r="1846" spans="1:9" x14ac:dyDescent="0.25">
      <c r="A1846" t="s">
        <v>1851</v>
      </c>
      <c r="B1846">
        <v>23411.8</v>
      </c>
      <c r="C1846">
        <v>23412.25</v>
      </c>
      <c r="D1846">
        <v>23380.1</v>
      </c>
      <c r="E1846">
        <v>23389.4</v>
      </c>
      <c r="F1846" s="2">
        <f t="shared" si="85"/>
        <v>32.150000000001455</v>
      </c>
      <c r="G1846" s="3">
        <f t="shared" si="86"/>
        <v>26.400125062254379</v>
      </c>
      <c r="H1846" t="str">
        <f t="shared" si="84"/>
        <v>2026-09</v>
      </c>
      <c r="I1846">
        <v>3</v>
      </c>
    </row>
    <row r="1847" spans="1:9" x14ac:dyDescent="0.25">
      <c r="A1847" t="s">
        <v>1852</v>
      </c>
      <c r="B1847">
        <v>23277.3</v>
      </c>
      <c r="C1847">
        <v>23277.3</v>
      </c>
      <c r="D1847">
        <v>23231.4</v>
      </c>
      <c r="E1847">
        <v>23258.25</v>
      </c>
      <c r="F1847" s="2">
        <f t="shared" si="85"/>
        <v>158</v>
      </c>
      <c r="G1847" s="3">
        <f t="shared" si="86"/>
        <v>35.800116129236208</v>
      </c>
      <c r="H1847" t="str">
        <f t="shared" si="84"/>
        <v>2026-09</v>
      </c>
      <c r="I1847">
        <v>3</v>
      </c>
    </row>
    <row r="1848" spans="1:9" x14ac:dyDescent="0.25">
      <c r="A1848" t="s">
        <v>1853</v>
      </c>
      <c r="B1848">
        <v>23258.400000000001</v>
      </c>
      <c r="C1848">
        <v>23267.25</v>
      </c>
      <c r="D1848">
        <v>23238.25</v>
      </c>
      <c r="E1848">
        <v>23248.2</v>
      </c>
      <c r="F1848" s="2">
        <f t="shared" si="85"/>
        <v>29</v>
      </c>
      <c r="G1848" s="3">
        <f t="shared" si="86"/>
        <v>35.314393548576483</v>
      </c>
      <c r="H1848" t="str">
        <f t="shared" si="84"/>
        <v>2026-09</v>
      </c>
      <c r="I1848">
        <v>3</v>
      </c>
    </row>
    <row r="1849" spans="1:9" x14ac:dyDescent="0.25">
      <c r="A1849" t="s">
        <v>1854</v>
      </c>
      <c r="B1849">
        <v>23249.95</v>
      </c>
      <c r="C1849">
        <v>23263.35</v>
      </c>
      <c r="D1849">
        <v>23241.25</v>
      </c>
      <c r="E1849">
        <v>23259.25</v>
      </c>
      <c r="F1849" s="2">
        <f t="shared" si="85"/>
        <v>22.099999999998545</v>
      </c>
      <c r="G1849" s="3">
        <f t="shared" si="86"/>
        <v>34.370508295106632</v>
      </c>
      <c r="H1849" t="str">
        <f t="shared" si="84"/>
        <v>2026-09</v>
      </c>
      <c r="I1849">
        <v>3</v>
      </c>
    </row>
    <row r="1850" spans="1:9" x14ac:dyDescent="0.25">
      <c r="A1850" t="s">
        <v>1855</v>
      </c>
      <c r="B1850">
        <v>23259.9</v>
      </c>
      <c r="C1850">
        <v>23299.4</v>
      </c>
      <c r="D1850">
        <v>23257.3</v>
      </c>
      <c r="E1850">
        <v>23297.200000000001</v>
      </c>
      <c r="F1850" s="2">
        <f t="shared" si="85"/>
        <v>42.100000000002183</v>
      </c>
      <c r="G1850" s="3">
        <f t="shared" si="86"/>
        <v>34.922614845456316</v>
      </c>
      <c r="H1850" t="str">
        <f t="shared" si="84"/>
        <v>2026-09</v>
      </c>
      <c r="I1850">
        <v>3</v>
      </c>
    </row>
    <row r="1851" spans="1:9" x14ac:dyDescent="0.25">
      <c r="A1851" t="s">
        <v>1856</v>
      </c>
      <c r="B1851">
        <v>23297.65</v>
      </c>
      <c r="C1851">
        <v>23311.8</v>
      </c>
      <c r="D1851">
        <v>23275.45</v>
      </c>
      <c r="E1851">
        <v>23275.45</v>
      </c>
      <c r="F1851" s="2">
        <f t="shared" si="85"/>
        <v>36.349999999998545</v>
      </c>
      <c r="G1851" s="3">
        <f t="shared" si="86"/>
        <v>35.024570927923619</v>
      </c>
      <c r="H1851" t="str">
        <f t="shared" si="84"/>
        <v>2026-09</v>
      </c>
      <c r="I1851">
        <v>3</v>
      </c>
    </row>
    <row r="1852" spans="1:9" x14ac:dyDescent="0.25">
      <c r="A1852" t="s">
        <v>1857</v>
      </c>
      <c r="B1852">
        <v>23276.799999999999</v>
      </c>
      <c r="C1852">
        <v>23305.35</v>
      </c>
      <c r="D1852">
        <v>23272.6</v>
      </c>
      <c r="E1852">
        <v>23305.3</v>
      </c>
      <c r="F1852" s="2">
        <f t="shared" si="85"/>
        <v>32.75</v>
      </c>
      <c r="G1852" s="3">
        <f t="shared" si="86"/>
        <v>34.862101575929074</v>
      </c>
      <c r="H1852" t="str">
        <f t="shared" si="84"/>
        <v>2026-09</v>
      </c>
      <c r="I1852">
        <v>3</v>
      </c>
    </row>
    <row r="1853" spans="1:9" x14ac:dyDescent="0.25">
      <c r="A1853" t="s">
        <v>1858</v>
      </c>
      <c r="B1853">
        <v>23307.1</v>
      </c>
      <c r="C1853">
        <v>23313.4</v>
      </c>
      <c r="D1853">
        <v>23273.15</v>
      </c>
      <c r="E1853">
        <v>23278.75</v>
      </c>
      <c r="F1853" s="2">
        <f t="shared" si="85"/>
        <v>40.25</v>
      </c>
      <c r="G1853" s="3">
        <f t="shared" si="86"/>
        <v>35.246951463362713</v>
      </c>
      <c r="H1853" t="str">
        <f t="shared" si="84"/>
        <v>2026-09</v>
      </c>
      <c r="I1853">
        <v>3</v>
      </c>
    </row>
    <row r="1854" spans="1:9" x14ac:dyDescent="0.25">
      <c r="A1854" t="s">
        <v>1859</v>
      </c>
      <c r="B1854">
        <v>23280.25</v>
      </c>
      <c r="C1854">
        <v>23339.05</v>
      </c>
      <c r="D1854">
        <v>23278.799999999999</v>
      </c>
      <c r="E1854">
        <v>23337.9</v>
      </c>
      <c r="F1854" s="2">
        <f t="shared" si="85"/>
        <v>60.299999999999272</v>
      </c>
      <c r="G1854" s="3">
        <f t="shared" si="86"/>
        <v>37.036454930265322</v>
      </c>
      <c r="H1854" t="str">
        <f t="shared" si="84"/>
        <v>2026-09</v>
      </c>
      <c r="I1854">
        <v>3</v>
      </c>
    </row>
    <row r="1855" spans="1:9" x14ac:dyDescent="0.25">
      <c r="A1855" t="s">
        <v>1860</v>
      </c>
      <c r="B1855">
        <v>23338.2</v>
      </c>
      <c r="C1855">
        <v>23353.15</v>
      </c>
      <c r="D1855">
        <v>23323.85</v>
      </c>
      <c r="E1855">
        <v>23341.85</v>
      </c>
      <c r="F1855" s="2">
        <f t="shared" si="85"/>
        <v>29.30000000000291</v>
      </c>
      <c r="G1855" s="3">
        <f t="shared" si="86"/>
        <v>36.483851006675152</v>
      </c>
      <c r="H1855" t="str">
        <f t="shared" si="84"/>
        <v>2026-09</v>
      </c>
      <c r="I1855">
        <v>3</v>
      </c>
    </row>
    <row r="1856" spans="1:9" x14ac:dyDescent="0.25">
      <c r="A1856" t="s">
        <v>1861</v>
      </c>
      <c r="B1856">
        <v>23342.3</v>
      </c>
      <c r="C1856">
        <v>23358.1</v>
      </c>
      <c r="D1856">
        <v>23333.55</v>
      </c>
      <c r="E1856">
        <v>23355.25</v>
      </c>
      <c r="F1856" s="2">
        <f t="shared" si="85"/>
        <v>24.549999999999272</v>
      </c>
      <c r="G1856" s="3">
        <f t="shared" si="86"/>
        <v>35.631433077626873</v>
      </c>
      <c r="H1856" t="str">
        <f t="shared" si="84"/>
        <v>2026-09</v>
      </c>
      <c r="I1856">
        <v>3</v>
      </c>
    </row>
    <row r="1857" spans="1:9" x14ac:dyDescent="0.25">
      <c r="A1857" t="s">
        <v>1862</v>
      </c>
      <c r="B1857">
        <v>23357.25</v>
      </c>
      <c r="C1857">
        <v>23360.85</v>
      </c>
      <c r="D1857">
        <v>23334.75</v>
      </c>
      <c r="E1857">
        <v>23352.3</v>
      </c>
      <c r="F1857" s="2">
        <f t="shared" si="85"/>
        <v>26.099999999998545</v>
      </c>
      <c r="G1857" s="3">
        <f t="shared" si="86"/>
        <v>34.950616429224851</v>
      </c>
      <c r="H1857" t="str">
        <f t="shared" si="84"/>
        <v>2026-09</v>
      </c>
      <c r="I1857">
        <v>3</v>
      </c>
    </row>
    <row r="1858" spans="1:9" x14ac:dyDescent="0.25">
      <c r="A1858" t="s">
        <v>1863</v>
      </c>
      <c r="B1858">
        <v>23354</v>
      </c>
      <c r="C1858">
        <v>23354.7</v>
      </c>
      <c r="D1858">
        <v>23323.75</v>
      </c>
      <c r="E1858">
        <v>23332</v>
      </c>
      <c r="F1858" s="2">
        <f t="shared" si="85"/>
        <v>30.950000000000728</v>
      </c>
      <c r="G1858" s="3">
        <f t="shared" si="86"/>
        <v>34.664858112851697</v>
      </c>
      <c r="H1858" t="str">
        <f t="shared" ref="H1858:H1921" si="87">LEFT(A1858,7)</f>
        <v>2026-09</v>
      </c>
      <c r="I1858">
        <v>3</v>
      </c>
    </row>
    <row r="1859" spans="1:9" x14ac:dyDescent="0.25">
      <c r="A1859" t="s">
        <v>1864</v>
      </c>
      <c r="B1859">
        <v>23333.75</v>
      </c>
      <c r="C1859">
        <v>23344.2</v>
      </c>
      <c r="D1859">
        <v>23327.1</v>
      </c>
      <c r="E1859">
        <v>23337.15</v>
      </c>
      <c r="F1859" s="2">
        <f t="shared" ref="F1859:F1922" si="88">MAX(C1859-D1859,ABS(C1859-E1858),ABS(D1859-E1858))</f>
        <v>17.100000000002183</v>
      </c>
      <c r="G1859" s="3">
        <f t="shared" si="86"/>
        <v>33.410225390505303</v>
      </c>
      <c r="H1859" t="str">
        <f t="shared" si="87"/>
        <v>2026-09</v>
      </c>
      <c r="I1859">
        <v>3</v>
      </c>
    </row>
    <row r="1860" spans="1:9" x14ac:dyDescent="0.25">
      <c r="A1860" t="s">
        <v>1865</v>
      </c>
      <c r="B1860">
        <v>23338.5</v>
      </c>
      <c r="C1860">
        <v>23361.1</v>
      </c>
      <c r="D1860">
        <v>23335.7</v>
      </c>
      <c r="E1860">
        <v>23349.5</v>
      </c>
      <c r="F1860" s="2">
        <f t="shared" si="88"/>
        <v>25.399999999997817</v>
      </c>
      <c r="G1860" s="3">
        <f t="shared" si="86"/>
        <v>32.838066434040478</v>
      </c>
      <c r="H1860" t="str">
        <f t="shared" si="87"/>
        <v>2026-09</v>
      </c>
      <c r="I1860">
        <v>3</v>
      </c>
    </row>
    <row r="1861" spans="1:9" x14ac:dyDescent="0.25">
      <c r="A1861" t="s">
        <v>1866</v>
      </c>
      <c r="B1861">
        <v>23351.25</v>
      </c>
      <c r="C1861">
        <v>23358.65</v>
      </c>
      <c r="D1861">
        <v>23336.7</v>
      </c>
      <c r="E1861">
        <v>23353.9</v>
      </c>
      <c r="F1861" s="2">
        <f t="shared" si="88"/>
        <v>21.950000000000728</v>
      </c>
      <c r="G1861" s="3">
        <f t="shared" si="86"/>
        <v>32.060347403037639</v>
      </c>
      <c r="H1861" t="str">
        <f t="shared" si="87"/>
        <v>2026-09</v>
      </c>
      <c r="I1861">
        <v>3</v>
      </c>
    </row>
    <row r="1862" spans="1:9" x14ac:dyDescent="0.25">
      <c r="A1862" t="s">
        <v>1867</v>
      </c>
      <c r="B1862">
        <v>23355.15</v>
      </c>
      <c r="C1862">
        <v>23355.15</v>
      </c>
      <c r="D1862">
        <v>23320.7</v>
      </c>
      <c r="E1862">
        <v>23337.1</v>
      </c>
      <c r="F1862" s="2">
        <f t="shared" si="88"/>
        <v>34.450000000000728</v>
      </c>
      <c r="G1862" s="3">
        <f t="shared" si="86"/>
        <v>32.231036874249291</v>
      </c>
      <c r="H1862" t="str">
        <f t="shared" si="87"/>
        <v>2026-09</v>
      </c>
      <c r="I1862">
        <v>3</v>
      </c>
    </row>
    <row r="1863" spans="1:9" x14ac:dyDescent="0.25">
      <c r="A1863" t="s">
        <v>1868</v>
      </c>
      <c r="B1863">
        <v>23339.05</v>
      </c>
      <c r="C1863">
        <v>23356.3</v>
      </c>
      <c r="D1863">
        <v>23325.15</v>
      </c>
      <c r="E1863">
        <v>23352.7</v>
      </c>
      <c r="F1863" s="2">
        <f t="shared" si="88"/>
        <v>31.149999999997817</v>
      </c>
      <c r="G1863" s="3">
        <f t="shared" si="86"/>
        <v>32.153819954659902</v>
      </c>
      <c r="H1863" t="str">
        <f t="shared" si="87"/>
        <v>2026-09</v>
      </c>
      <c r="I1863">
        <v>3</v>
      </c>
    </row>
    <row r="1864" spans="1:9" x14ac:dyDescent="0.25">
      <c r="A1864" t="s">
        <v>1869</v>
      </c>
      <c r="B1864">
        <v>23353.45</v>
      </c>
      <c r="C1864">
        <v>23359.75</v>
      </c>
      <c r="D1864">
        <v>23314</v>
      </c>
      <c r="E1864">
        <v>23336.65</v>
      </c>
      <c r="F1864" s="2">
        <f t="shared" si="88"/>
        <v>45.75</v>
      </c>
      <c r="G1864" s="3">
        <f t="shared" si="86"/>
        <v>33.124975672184192</v>
      </c>
      <c r="H1864" t="str">
        <f t="shared" si="87"/>
        <v>2026-09</v>
      </c>
      <c r="I1864">
        <v>3</v>
      </c>
    </row>
    <row r="1865" spans="1:9" x14ac:dyDescent="0.25">
      <c r="A1865" t="s">
        <v>1870</v>
      </c>
      <c r="B1865">
        <v>23336.9</v>
      </c>
      <c r="C1865">
        <v>23390.400000000001</v>
      </c>
      <c r="D1865">
        <v>23320.3</v>
      </c>
      <c r="E1865">
        <v>23386.15</v>
      </c>
      <c r="F1865" s="2">
        <f t="shared" si="88"/>
        <v>70.100000000002183</v>
      </c>
      <c r="G1865" s="3">
        <f t="shared" si="86"/>
        <v>35.766048838456904</v>
      </c>
      <c r="H1865" t="str">
        <f t="shared" si="87"/>
        <v>2026-09</v>
      </c>
      <c r="I1865">
        <v>3</v>
      </c>
    </row>
    <row r="1866" spans="1:9" x14ac:dyDescent="0.25">
      <c r="A1866" t="s">
        <v>1871</v>
      </c>
      <c r="B1866">
        <v>23385.85</v>
      </c>
      <c r="C1866">
        <v>23448.1</v>
      </c>
      <c r="D1866">
        <v>23383.3</v>
      </c>
      <c r="E1866">
        <v>23417.15</v>
      </c>
      <c r="F1866" s="2">
        <f t="shared" si="88"/>
        <v>64.799999999999272</v>
      </c>
      <c r="G1866" s="3">
        <f t="shared" si="86"/>
        <v>37.839902492852787</v>
      </c>
      <c r="H1866" t="str">
        <f t="shared" si="87"/>
        <v>2026-09</v>
      </c>
      <c r="I1866">
        <v>3</v>
      </c>
    </row>
    <row r="1867" spans="1:9" x14ac:dyDescent="0.25">
      <c r="A1867" t="s">
        <v>1872</v>
      </c>
      <c r="B1867">
        <v>23418.1</v>
      </c>
      <c r="C1867">
        <v>23427.1</v>
      </c>
      <c r="D1867">
        <v>23403.3</v>
      </c>
      <c r="E1867">
        <v>23424.400000000001</v>
      </c>
      <c r="F1867" s="2">
        <f t="shared" si="88"/>
        <v>23.799999999999272</v>
      </c>
      <c r="G1867" s="3">
        <f t="shared" si="86"/>
        <v>36.837052314791826</v>
      </c>
      <c r="H1867" t="str">
        <f t="shared" si="87"/>
        <v>2026-09</v>
      </c>
      <c r="I1867">
        <v>3</v>
      </c>
    </row>
    <row r="1868" spans="1:9" x14ac:dyDescent="0.25">
      <c r="A1868" t="s">
        <v>1873</v>
      </c>
      <c r="B1868">
        <v>23426.15</v>
      </c>
      <c r="C1868">
        <v>23440.55</v>
      </c>
      <c r="D1868">
        <v>23415.5</v>
      </c>
      <c r="E1868">
        <v>23433.8</v>
      </c>
      <c r="F1868" s="2">
        <f t="shared" si="88"/>
        <v>25.049999999999272</v>
      </c>
      <c r="G1868" s="3">
        <f t="shared" si="86"/>
        <v>35.995120006592359</v>
      </c>
      <c r="H1868" t="str">
        <f t="shared" si="87"/>
        <v>2026-09</v>
      </c>
      <c r="I1868">
        <v>3</v>
      </c>
    </row>
    <row r="1869" spans="1:9" x14ac:dyDescent="0.25">
      <c r="A1869" t="s">
        <v>1874</v>
      </c>
      <c r="B1869">
        <v>23434.25</v>
      </c>
      <c r="C1869">
        <v>23434.95</v>
      </c>
      <c r="D1869">
        <v>23418.35</v>
      </c>
      <c r="E1869">
        <v>23420.25</v>
      </c>
      <c r="F1869" s="2">
        <f t="shared" si="88"/>
        <v>16.600000000002183</v>
      </c>
      <c r="G1869" s="3">
        <f t="shared" si="86"/>
        <v>34.60975429183592</v>
      </c>
      <c r="H1869" t="str">
        <f t="shared" si="87"/>
        <v>2026-09</v>
      </c>
      <c r="I1869">
        <v>3</v>
      </c>
    </row>
    <row r="1870" spans="1:9" x14ac:dyDescent="0.25">
      <c r="A1870" t="s">
        <v>1875</v>
      </c>
      <c r="B1870">
        <v>23420.9</v>
      </c>
      <c r="C1870">
        <v>23436.6</v>
      </c>
      <c r="D1870">
        <v>23387.200000000001</v>
      </c>
      <c r="E1870">
        <v>23435.3</v>
      </c>
      <c r="F1870" s="2">
        <f t="shared" si="88"/>
        <v>49.399999999997817</v>
      </c>
      <c r="G1870" s="3">
        <f t="shared" si="86"/>
        <v>35.666200413847484</v>
      </c>
      <c r="H1870" t="str">
        <f t="shared" si="87"/>
        <v>2026-09</v>
      </c>
      <c r="I1870">
        <v>3</v>
      </c>
    </row>
    <row r="1871" spans="1:9" x14ac:dyDescent="0.25">
      <c r="A1871" t="s">
        <v>1876</v>
      </c>
      <c r="B1871">
        <v>23591.25</v>
      </c>
      <c r="C1871">
        <v>23592.85</v>
      </c>
      <c r="D1871">
        <v>23452.05</v>
      </c>
      <c r="E1871">
        <v>23463.9</v>
      </c>
      <c r="F1871" s="2">
        <f t="shared" si="88"/>
        <v>157.54999999999927</v>
      </c>
      <c r="G1871" s="3">
        <f t="shared" si="86"/>
        <v>44.372186098572612</v>
      </c>
      <c r="H1871" t="str">
        <f t="shared" si="87"/>
        <v>2026-09</v>
      </c>
      <c r="I1871">
        <v>3</v>
      </c>
    </row>
    <row r="1872" spans="1:9" x14ac:dyDescent="0.25">
      <c r="A1872" t="s">
        <v>1877</v>
      </c>
      <c r="B1872">
        <v>23464.2</v>
      </c>
      <c r="C1872">
        <v>23466.45</v>
      </c>
      <c r="D1872">
        <v>23439.05</v>
      </c>
      <c r="E1872">
        <v>23448.1</v>
      </c>
      <c r="F1872" s="2">
        <f t="shared" si="88"/>
        <v>27.400000000001455</v>
      </c>
      <c r="G1872" s="3">
        <f t="shared" ref="G1872:G1935" si="89">(G1871*13+F1872)/14</f>
        <v>43.159887091531814</v>
      </c>
      <c r="H1872" t="str">
        <f t="shared" si="87"/>
        <v>2026-09</v>
      </c>
      <c r="I1872">
        <v>3</v>
      </c>
    </row>
    <row r="1873" spans="1:9" x14ac:dyDescent="0.25">
      <c r="A1873" t="s">
        <v>1878</v>
      </c>
      <c r="B1873">
        <v>23447.85</v>
      </c>
      <c r="C1873">
        <v>23448.05</v>
      </c>
      <c r="D1873">
        <v>23371.85</v>
      </c>
      <c r="E1873">
        <v>23394.6</v>
      </c>
      <c r="F1873" s="2">
        <f t="shared" si="88"/>
        <v>76.25</v>
      </c>
      <c r="G1873" s="3">
        <f t="shared" si="89"/>
        <v>45.523466584993834</v>
      </c>
      <c r="H1873" t="str">
        <f t="shared" si="87"/>
        <v>2026-09</v>
      </c>
      <c r="I1873">
        <v>3</v>
      </c>
    </row>
    <row r="1874" spans="1:9" x14ac:dyDescent="0.25">
      <c r="A1874" t="s">
        <v>1879</v>
      </c>
      <c r="B1874">
        <v>23394.7</v>
      </c>
      <c r="C1874">
        <v>23399.3</v>
      </c>
      <c r="D1874">
        <v>23369.65</v>
      </c>
      <c r="E1874">
        <v>23386.75</v>
      </c>
      <c r="F1874" s="2">
        <f t="shared" si="88"/>
        <v>29.649999999997817</v>
      </c>
      <c r="G1874" s="3">
        <f t="shared" si="89"/>
        <v>44.389647543208405</v>
      </c>
      <c r="H1874" t="str">
        <f t="shared" si="87"/>
        <v>2026-09</v>
      </c>
      <c r="I1874">
        <v>3</v>
      </c>
    </row>
    <row r="1875" spans="1:9" x14ac:dyDescent="0.25">
      <c r="A1875" t="s">
        <v>1880</v>
      </c>
      <c r="B1875">
        <v>23386.799999999999</v>
      </c>
      <c r="C1875">
        <v>23396.2</v>
      </c>
      <c r="D1875">
        <v>23361.1</v>
      </c>
      <c r="E1875">
        <v>23362.65</v>
      </c>
      <c r="F1875" s="2">
        <f t="shared" si="88"/>
        <v>35.100000000002183</v>
      </c>
      <c r="G1875" s="3">
        <f t="shared" si="89"/>
        <v>43.726101290122244</v>
      </c>
      <c r="H1875" t="str">
        <f t="shared" si="87"/>
        <v>2026-09</v>
      </c>
      <c r="I1875">
        <v>3</v>
      </c>
    </row>
    <row r="1876" spans="1:9" x14ac:dyDescent="0.25">
      <c r="A1876" t="s">
        <v>1881</v>
      </c>
      <c r="B1876">
        <v>23362.75</v>
      </c>
      <c r="C1876">
        <v>23375.65</v>
      </c>
      <c r="D1876">
        <v>23348.400000000001</v>
      </c>
      <c r="E1876">
        <v>23351.200000000001</v>
      </c>
      <c r="F1876" s="2">
        <f t="shared" si="88"/>
        <v>27.25</v>
      </c>
      <c r="G1876" s="3">
        <f t="shared" si="89"/>
        <v>42.549236912256369</v>
      </c>
      <c r="H1876" t="str">
        <f t="shared" si="87"/>
        <v>2026-09</v>
      </c>
      <c r="I1876">
        <v>3</v>
      </c>
    </row>
    <row r="1877" spans="1:9" x14ac:dyDescent="0.25">
      <c r="A1877" t="s">
        <v>1882</v>
      </c>
      <c r="B1877">
        <v>23351.05</v>
      </c>
      <c r="C1877">
        <v>23353.15</v>
      </c>
      <c r="D1877">
        <v>23327.35</v>
      </c>
      <c r="E1877">
        <v>23338.45</v>
      </c>
      <c r="F1877" s="2">
        <f t="shared" si="88"/>
        <v>25.80000000000291</v>
      </c>
      <c r="G1877" s="3">
        <f t="shared" si="89"/>
        <v>41.352862847095409</v>
      </c>
      <c r="H1877" t="str">
        <f t="shared" si="87"/>
        <v>2026-09</v>
      </c>
      <c r="I1877">
        <v>3</v>
      </c>
    </row>
    <row r="1878" spans="1:9" x14ac:dyDescent="0.25">
      <c r="A1878" t="s">
        <v>1883</v>
      </c>
      <c r="B1878">
        <v>23337.75</v>
      </c>
      <c r="C1878">
        <v>23360.45</v>
      </c>
      <c r="D1878">
        <v>23323.75</v>
      </c>
      <c r="E1878">
        <v>23345.4</v>
      </c>
      <c r="F1878" s="2">
        <f t="shared" si="88"/>
        <v>36.700000000000728</v>
      </c>
      <c r="G1878" s="3">
        <f t="shared" si="89"/>
        <v>41.02051550087436</v>
      </c>
      <c r="H1878" t="str">
        <f t="shared" si="87"/>
        <v>2026-09</v>
      </c>
      <c r="I1878">
        <v>3</v>
      </c>
    </row>
    <row r="1879" spans="1:9" x14ac:dyDescent="0.25">
      <c r="A1879" t="s">
        <v>1884</v>
      </c>
      <c r="B1879">
        <v>23345.45</v>
      </c>
      <c r="C1879">
        <v>23355.9</v>
      </c>
      <c r="D1879">
        <v>23313.15</v>
      </c>
      <c r="E1879">
        <v>23317.65</v>
      </c>
      <c r="F1879" s="2">
        <f t="shared" si="88"/>
        <v>42.75</v>
      </c>
      <c r="G1879" s="3">
        <f t="shared" si="89"/>
        <v>41.144050107954762</v>
      </c>
      <c r="H1879" t="str">
        <f t="shared" si="87"/>
        <v>2026-09</v>
      </c>
      <c r="I1879">
        <v>3</v>
      </c>
    </row>
    <row r="1880" spans="1:9" x14ac:dyDescent="0.25">
      <c r="A1880" t="s">
        <v>1885</v>
      </c>
      <c r="B1880">
        <v>23317.35</v>
      </c>
      <c r="C1880">
        <v>23348.5</v>
      </c>
      <c r="D1880">
        <v>23311.55</v>
      </c>
      <c r="E1880">
        <v>23342.05</v>
      </c>
      <c r="F1880" s="2">
        <f t="shared" si="88"/>
        <v>36.950000000000728</v>
      </c>
      <c r="G1880" s="3">
        <f t="shared" si="89"/>
        <v>40.844475100243756</v>
      </c>
      <c r="H1880" t="str">
        <f t="shared" si="87"/>
        <v>2026-09</v>
      </c>
      <c r="I1880">
        <v>3</v>
      </c>
    </row>
    <row r="1881" spans="1:9" x14ac:dyDescent="0.25">
      <c r="A1881" t="s">
        <v>1886</v>
      </c>
      <c r="B1881">
        <v>23342.1</v>
      </c>
      <c r="C1881">
        <v>23343.25</v>
      </c>
      <c r="D1881">
        <v>23319.55</v>
      </c>
      <c r="E1881">
        <v>23336.400000000001</v>
      </c>
      <c r="F1881" s="2">
        <f t="shared" si="88"/>
        <v>23.700000000000728</v>
      </c>
      <c r="G1881" s="3">
        <f t="shared" si="89"/>
        <v>39.619869735940675</v>
      </c>
      <c r="H1881" t="str">
        <f t="shared" si="87"/>
        <v>2026-09</v>
      </c>
      <c r="I1881">
        <v>3</v>
      </c>
    </row>
    <row r="1882" spans="1:9" x14ac:dyDescent="0.25">
      <c r="A1882" t="s">
        <v>1887</v>
      </c>
      <c r="B1882">
        <v>23335.55</v>
      </c>
      <c r="C1882">
        <v>23353.9</v>
      </c>
      <c r="D1882">
        <v>23330.2</v>
      </c>
      <c r="E1882">
        <v>23335.85</v>
      </c>
      <c r="F1882" s="2">
        <f t="shared" si="88"/>
        <v>23.700000000000728</v>
      </c>
      <c r="G1882" s="3">
        <f t="shared" si="89"/>
        <v>38.48273618337354</v>
      </c>
      <c r="H1882" t="str">
        <f t="shared" si="87"/>
        <v>2026-09</v>
      </c>
      <c r="I1882">
        <v>3</v>
      </c>
    </row>
    <row r="1883" spans="1:9" x14ac:dyDescent="0.25">
      <c r="A1883" t="s">
        <v>1888</v>
      </c>
      <c r="B1883">
        <v>23335.9</v>
      </c>
      <c r="C1883">
        <v>23340</v>
      </c>
      <c r="D1883">
        <v>23324.35</v>
      </c>
      <c r="E1883">
        <v>23337.4</v>
      </c>
      <c r="F1883" s="2">
        <f t="shared" si="88"/>
        <v>15.650000000001455</v>
      </c>
      <c r="G1883" s="3">
        <f t="shared" si="89"/>
        <v>36.851826455989816</v>
      </c>
      <c r="H1883" t="str">
        <f t="shared" si="87"/>
        <v>2026-09</v>
      </c>
      <c r="I1883">
        <v>3</v>
      </c>
    </row>
    <row r="1884" spans="1:9" x14ac:dyDescent="0.25">
      <c r="A1884" t="s">
        <v>1889</v>
      </c>
      <c r="B1884">
        <v>23338.1</v>
      </c>
      <c r="C1884">
        <v>23338.1</v>
      </c>
      <c r="D1884">
        <v>23313.8</v>
      </c>
      <c r="E1884">
        <v>23315.05</v>
      </c>
      <c r="F1884" s="2">
        <f t="shared" si="88"/>
        <v>24.299999999999272</v>
      </c>
      <c r="G1884" s="3">
        <f t="shared" si="89"/>
        <v>35.955267423419066</v>
      </c>
      <c r="H1884" t="str">
        <f t="shared" si="87"/>
        <v>2026-09</v>
      </c>
      <c r="I1884">
        <v>3</v>
      </c>
    </row>
    <row r="1885" spans="1:9" x14ac:dyDescent="0.25">
      <c r="A1885" t="s">
        <v>1890</v>
      </c>
      <c r="B1885">
        <v>23315.3</v>
      </c>
      <c r="C1885">
        <v>23337.25</v>
      </c>
      <c r="D1885">
        <v>23301.55</v>
      </c>
      <c r="E1885">
        <v>23308.6</v>
      </c>
      <c r="F1885" s="2">
        <f t="shared" si="88"/>
        <v>35.700000000000728</v>
      </c>
      <c r="G1885" s="3">
        <f t="shared" si="89"/>
        <v>35.937034036032045</v>
      </c>
      <c r="H1885" t="str">
        <f t="shared" si="87"/>
        <v>2026-09</v>
      </c>
      <c r="I1885">
        <v>3</v>
      </c>
    </row>
    <row r="1886" spans="1:9" x14ac:dyDescent="0.25">
      <c r="A1886" t="s">
        <v>1891</v>
      </c>
      <c r="B1886">
        <v>23308.95</v>
      </c>
      <c r="C1886">
        <v>23315.75</v>
      </c>
      <c r="D1886">
        <v>23288.45</v>
      </c>
      <c r="E1886">
        <v>23294.95</v>
      </c>
      <c r="F1886" s="2">
        <f t="shared" si="88"/>
        <v>27.299999999999272</v>
      </c>
      <c r="G1886" s="3">
        <f t="shared" si="89"/>
        <v>35.320103033458274</v>
      </c>
      <c r="H1886" t="str">
        <f t="shared" si="87"/>
        <v>2026-09</v>
      </c>
      <c r="I1886">
        <v>3</v>
      </c>
    </row>
    <row r="1887" spans="1:9" x14ac:dyDescent="0.25">
      <c r="A1887" t="s">
        <v>1892</v>
      </c>
      <c r="B1887">
        <v>23295.1</v>
      </c>
      <c r="C1887">
        <v>23300.5</v>
      </c>
      <c r="D1887">
        <v>23279.55</v>
      </c>
      <c r="E1887">
        <v>23281.05</v>
      </c>
      <c r="F1887" s="2">
        <f t="shared" si="88"/>
        <v>20.950000000000728</v>
      </c>
      <c r="G1887" s="3">
        <f t="shared" si="89"/>
        <v>34.293667102497018</v>
      </c>
      <c r="H1887" t="str">
        <f t="shared" si="87"/>
        <v>2026-09</v>
      </c>
      <c r="I1887">
        <v>3</v>
      </c>
    </row>
    <row r="1888" spans="1:9" x14ac:dyDescent="0.25">
      <c r="A1888" t="s">
        <v>1893</v>
      </c>
      <c r="B1888">
        <v>23281.45</v>
      </c>
      <c r="C1888">
        <v>23285.05</v>
      </c>
      <c r="D1888">
        <v>23251.75</v>
      </c>
      <c r="E1888">
        <v>23263.25</v>
      </c>
      <c r="F1888" s="2">
        <f t="shared" si="88"/>
        <v>33.299999999999272</v>
      </c>
      <c r="G1888" s="3">
        <f t="shared" si="89"/>
        <v>34.222690880890035</v>
      </c>
      <c r="H1888" t="str">
        <f t="shared" si="87"/>
        <v>2026-09</v>
      </c>
      <c r="I1888">
        <v>3</v>
      </c>
    </row>
    <row r="1889" spans="1:9" x14ac:dyDescent="0.25">
      <c r="A1889" t="s">
        <v>1894</v>
      </c>
      <c r="B1889">
        <v>23263.35</v>
      </c>
      <c r="C1889">
        <v>23276.05</v>
      </c>
      <c r="D1889">
        <v>23262</v>
      </c>
      <c r="E1889">
        <v>23272.35</v>
      </c>
      <c r="F1889" s="2">
        <f t="shared" si="88"/>
        <v>14.049999999999272</v>
      </c>
      <c r="G1889" s="3">
        <f t="shared" si="89"/>
        <v>32.781784389397835</v>
      </c>
      <c r="H1889" t="str">
        <f t="shared" si="87"/>
        <v>2026-09</v>
      </c>
      <c r="I1889">
        <v>3</v>
      </c>
    </row>
    <row r="1890" spans="1:9" x14ac:dyDescent="0.25">
      <c r="A1890" t="s">
        <v>1895</v>
      </c>
      <c r="B1890">
        <v>23272.799999999999</v>
      </c>
      <c r="C1890">
        <v>23277.45</v>
      </c>
      <c r="D1890">
        <v>23229.200000000001</v>
      </c>
      <c r="E1890">
        <v>23230.2</v>
      </c>
      <c r="F1890" s="2">
        <f t="shared" si="88"/>
        <v>48.25</v>
      </c>
      <c r="G1890" s="3">
        <f t="shared" si="89"/>
        <v>33.886656933012276</v>
      </c>
      <c r="H1890" t="str">
        <f t="shared" si="87"/>
        <v>2026-09</v>
      </c>
      <c r="I1890">
        <v>3</v>
      </c>
    </row>
    <row r="1891" spans="1:9" x14ac:dyDescent="0.25">
      <c r="A1891" t="s">
        <v>1896</v>
      </c>
      <c r="B1891">
        <v>23228</v>
      </c>
      <c r="C1891">
        <v>23229.3</v>
      </c>
      <c r="D1891">
        <v>23195.3</v>
      </c>
      <c r="E1891">
        <v>23202.799999999999</v>
      </c>
      <c r="F1891" s="2">
        <f t="shared" si="88"/>
        <v>34.900000000001455</v>
      </c>
      <c r="G1891" s="3">
        <f t="shared" si="89"/>
        <v>33.959038580654358</v>
      </c>
      <c r="H1891" t="str">
        <f t="shared" si="87"/>
        <v>2026-09</v>
      </c>
      <c r="I1891">
        <v>3</v>
      </c>
    </row>
    <row r="1892" spans="1:9" x14ac:dyDescent="0.25">
      <c r="A1892" t="s">
        <v>1897</v>
      </c>
      <c r="B1892">
        <v>23202.55</v>
      </c>
      <c r="C1892">
        <v>23225.200000000001</v>
      </c>
      <c r="D1892">
        <v>23199.95</v>
      </c>
      <c r="E1892">
        <v>23215.75</v>
      </c>
      <c r="F1892" s="2">
        <f t="shared" si="88"/>
        <v>25.25</v>
      </c>
      <c r="G1892" s="3">
        <f t="shared" si="89"/>
        <v>33.336964396321903</v>
      </c>
      <c r="H1892" t="str">
        <f t="shared" si="87"/>
        <v>2026-09</v>
      </c>
      <c r="I1892">
        <v>3</v>
      </c>
    </row>
    <row r="1893" spans="1:9" x14ac:dyDescent="0.25">
      <c r="A1893" t="s">
        <v>1898</v>
      </c>
      <c r="B1893">
        <v>23216.05</v>
      </c>
      <c r="C1893">
        <v>23217.55</v>
      </c>
      <c r="D1893">
        <v>23152</v>
      </c>
      <c r="E1893">
        <v>23174.9</v>
      </c>
      <c r="F1893" s="2">
        <f t="shared" si="88"/>
        <v>65.549999999999272</v>
      </c>
      <c r="G1893" s="3">
        <f t="shared" si="89"/>
        <v>35.637895510870287</v>
      </c>
      <c r="H1893" t="str">
        <f t="shared" si="87"/>
        <v>2026-09</v>
      </c>
      <c r="I1893">
        <v>3</v>
      </c>
    </row>
    <row r="1894" spans="1:9" x14ac:dyDescent="0.25">
      <c r="A1894" t="s">
        <v>1899</v>
      </c>
      <c r="B1894">
        <v>23174.7</v>
      </c>
      <c r="C1894">
        <v>23192.35</v>
      </c>
      <c r="D1894">
        <v>23165.7</v>
      </c>
      <c r="E1894">
        <v>23172.25</v>
      </c>
      <c r="F1894" s="2">
        <f t="shared" si="88"/>
        <v>26.649999999997817</v>
      </c>
      <c r="G1894" s="3">
        <f t="shared" si="89"/>
        <v>34.995902974379398</v>
      </c>
      <c r="H1894" t="str">
        <f t="shared" si="87"/>
        <v>2026-09</v>
      </c>
      <c r="I1894">
        <v>3</v>
      </c>
    </row>
    <row r="1895" spans="1:9" x14ac:dyDescent="0.25">
      <c r="A1895" t="s">
        <v>1900</v>
      </c>
      <c r="B1895">
        <v>23202.75</v>
      </c>
      <c r="C1895">
        <v>23281.15</v>
      </c>
      <c r="D1895">
        <v>23186.55</v>
      </c>
      <c r="E1895">
        <v>23204.2</v>
      </c>
      <c r="F1895" s="2">
        <f t="shared" si="88"/>
        <v>108.90000000000146</v>
      </c>
      <c r="G1895" s="3">
        <f t="shared" si="89"/>
        <v>40.274767047638115</v>
      </c>
      <c r="H1895" t="str">
        <f t="shared" si="87"/>
        <v>2026-09</v>
      </c>
      <c r="I1895">
        <v>3</v>
      </c>
    </row>
    <row r="1896" spans="1:9" x14ac:dyDescent="0.25">
      <c r="A1896" t="s">
        <v>1901</v>
      </c>
      <c r="B1896">
        <v>23204</v>
      </c>
      <c r="C1896">
        <v>23213.9</v>
      </c>
      <c r="D1896">
        <v>23120.95</v>
      </c>
      <c r="E1896">
        <v>23120.95</v>
      </c>
      <c r="F1896" s="2">
        <f t="shared" si="88"/>
        <v>92.950000000000728</v>
      </c>
      <c r="G1896" s="3">
        <f t="shared" si="89"/>
        <v>44.037283687092589</v>
      </c>
      <c r="H1896" t="str">
        <f t="shared" si="87"/>
        <v>2026-09</v>
      </c>
      <c r="I1896">
        <v>3</v>
      </c>
    </row>
    <row r="1897" spans="1:9" x14ac:dyDescent="0.25">
      <c r="A1897" t="s">
        <v>1902</v>
      </c>
      <c r="B1897">
        <v>23121</v>
      </c>
      <c r="C1897">
        <v>23235.75</v>
      </c>
      <c r="D1897">
        <v>23116.1</v>
      </c>
      <c r="E1897">
        <v>23224.6</v>
      </c>
      <c r="F1897" s="2">
        <f t="shared" si="88"/>
        <v>119.65000000000146</v>
      </c>
      <c r="G1897" s="3">
        <f t="shared" si="89"/>
        <v>49.43819199515751</v>
      </c>
      <c r="H1897" t="str">
        <f t="shared" si="87"/>
        <v>2026-09</v>
      </c>
      <c r="I1897">
        <v>3</v>
      </c>
    </row>
    <row r="1898" spans="1:9" x14ac:dyDescent="0.25">
      <c r="A1898" t="s">
        <v>1903</v>
      </c>
      <c r="B1898">
        <v>23224.5</v>
      </c>
      <c r="C1898">
        <v>23225.15</v>
      </c>
      <c r="D1898">
        <v>23163.4</v>
      </c>
      <c r="E1898">
        <v>23177.75</v>
      </c>
      <c r="F1898" s="2">
        <f t="shared" si="88"/>
        <v>61.75</v>
      </c>
      <c r="G1898" s="3">
        <f t="shared" si="89"/>
        <v>50.317606852646257</v>
      </c>
      <c r="H1898" t="str">
        <f t="shared" si="87"/>
        <v>2026-09</v>
      </c>
      <c r="I1898">
        <v>3</v>
      </c>
    </row>
    <row r="1899" spans="1:9" x14ac:dyDescent="0.25">
      <c r="A1899" t="s">
        <v>1904</v>
      </c>
      <c r="B1899">
        <v>23177.85</v>
      </c>
      <c r="C1899">
        <v>23239.45</v>
      </c>
      <c r="D1899">
        <v>23172.1</v>
      </c>
      <c r="E1899">
        <v>23229.8</v>
      </c>
      <c r="F1899" s="2">
        <f t="shared" si="88"/>
        <v>67.350000000002183</v>
      </c>
      <c r="G1899" s="3">
        <f t="shared" si="89"/>
        <v>51.534206363171677</v>
      </c>
      <c r="H1899" t="str">
        <f t="shared" si="87"/>
        <v>2026-09</v>
      </c>
      <c r="I1899">
        <v>3</v>
      </c>
    </row>
    <row r="1900" spans="1:9" x14ac:dyDescent="0.25">
      <c r="A1900" t="s">
        <v>1905</v>
      </c>
      <c r="B1900">
        <v>23229.55</v>
      </c>
      <c r="C1900">
        <v>23250.1</v>
      </c>
      <c r="D1900">
        <v>23223.7</v>
      </c>
      <c r="E1900">
        <v>23248.5</v>
      </c>
      <c r="F1900" s="2">
        <f t="shared" si="88"/>
        <v>26.399999999997817</v>
      </c>
      <c r="G1900" s="3">
        <f t="shared" si="89"/>
        <v>49.738905908659262</v>
      </c>
      <c r="H1900" t="str">
        <f t="shared" si="87"/>
        <v>2026-09</v>
      </c>
      <c r="I1900">
        <v>3</v>
      </c>
    </row>
    <row r="1901" spans="1:9" x14ac:dyDescent="0.25">
      <c r="A1901" t="s">
        <v>1906</v>
      </c>
      <c r="B1901">
        <v>23248.6</v>
      </c>
      <c r="C1901">
        <v>23268.65</v>
      </c>
      <c r="D1901">
        <v>23236.95</v>
      </c>
      <c r="E1901">
        <v>23252</v>
      </c>
      <c r="F1901" s="2">
        <f t="shared" si="88"/>
        <v>31.700000000000728</v>
      </c>
      <c r="G1901" s="3">
        <f t="shared" si="89"/>
        <v>48.450412629469369</v>
      </c>
      <c r="H1901" t="str">
        <f t="shared" si="87"/>
        <v>2026-09</v>
      </c>
      <c r="I1901">
        <v>3</v>
      </c>
    </row>
    <row r="1902" spans="1:9" x14ac:dyDescent="0.25">
      <c r="A1902" t="s">
        <v>1907</v>
      </c>
      <c r="B1902">
        <v>23251.9</v>
      </c>
      <c r="C1902">
        <v>23278.75</v>
      </c>
      <c r="D1902">
        <v>23248.400000000001</v>
      </c>
      <c r="E1902">
        <v>23250.7</v>
      </c>
      <c r="F1902" s="2">
        <f t="shared" si="88"/>
        <v>30.349999999998545</v>
      </c>
      <c r="G1902" s="3">
        <f t="shared" si="89"/>
        <v>47.157526013078595</v>
      </c>
      <c r="H1902" t="str">
        <f t="shared" si="87"/>
        <v>2026-09</v>
      </c>
      <c r="I1902">
        <v>3</v>
      </c>
    </row>
    <row r="1903" spans="1:9" x14ac:dyDescent="0.25">
      <c r="A1903" t="s">
        <v>1908</v>
      </c>
      <c r="B1903">
        <v>23250.85</v>
      </c>
      <c r="C1903">
        <v>23269</v>
      </c>
      <c r="D1903">
        <v>23219.35</v>
      </c>
      <c r="E1903">
        <v>23220.25</v>
      </c>
      <c r="F1903" s="2">
        <f t="shared" si="88"/>
        <v>49.650000000001455</v>
      </c>
      <c r="G1903" s="3">
        <f t="shared" si="89"/>
        <v>47.335559869287366</v>
      </c>
      <c r="H1903" t="str">
        <f t="shared" si="87"/>
        <v>2026-09</v>
      </c>
      <c r="I1903">
        <v>3</v>
      </c>
    </row>
    <row r="1904" spans="1:9" x14ac:dyDescent="0.25">
      <c r="A1904" t="s">
        <v>1909</v>
      </c>
      <c r="B1904">
        <v>23220.2</v>
      </c>
      <c r="C1904">
        <v>23245.4</v>
      </c>
      <c r="D1904">
        <v>23219.95</v>
      </c>
      <c r="E1904">
        <v>23233.65</v>
      </c>
      <c r="F1904" s="2">
        <f t="shared" si="88"/>
        <v>25.450000000000728</v>
      </c>
      <c r="G1904" s="3">
        <f t="shared" si="89"/>
        <v>45.772305592909746</v>
      </c>
      <c r="H1904" t="str">
        <f t="shared" si="87"/>
        <v>2026-09</v>
      </c>
      <c r="I1904">
        <v>3</v>
      </c>
    </row>
    <row r="1905" spans="1:9" x14ac:dyDescent="0.25">
      <c r="A1905" t="s">
        <v>1910</v>
      </c>
      <c r="B1905">
        <v>23233.55</v>
      </c>
      <c r="C1905">
        <v>23242.75</v>
      </c>
      <c r="D1905">
        <v>23213.7</v>
      </c>
      <c r="E1905">
        <v>23214.85</v>
      </c>
      <c r="F1905" s="2">
        <f t="shared" si="88"/>
        <v>29.049999999999272</v>
      </c>
      <c r="G1905" s="3">
        <f t="shared" si="89"/>
        <v>44.577855193416141</v>
      </c>
      <c r="H1905" t="str">
        <f t="shared" si="87"/>
        <v>2026-09</v>
      </c>
      <c r="I1905">
        <v>3</v>
      </c>
    </row>
    <row r="1906" spans="1:9" x14ac:dyDescent="0.25">
      <c r="A1906" t="s">
        <v>1911</v>
      </c>
      <c r="B1906">
        <v>23215.95</v>
      </c>
      <c r="C1906">
        <v>23246.85</v>
      </c>
      <c r="D1906">
        <v>23206.2</v>
      </c>
      <c r="E1906">
        <v>23233.05</v>
      </c>
      <c r="F1906" s="2">
        <f t="shared" si="88"/>
        <v>40.649999999997817</v>
      </c>
      <c r="G1906" s="3">
        <f t="shared" si="89"/>
        <v>44.297294108171975</v>
      </c>
      <c r="H1906" t="str">
        <f t="shared" si="87"/>
        <v>2026-09</v>
      </c>
      <c r="I1906">
        <v>3</v>
      </c>
    </row>
    <row r="1907" spans="1:9" x14ac:dyDescent="0.25">
      <c r="A1907" t="s">
        <v>1912</v>
      </c>
      <c r="B1907">
        <v>23232.85</v>
      </c>
      <c r="C1907">
        <v>23246.799999999999</v>
      </c>
      <c r="D1907">
        <v>23220.55</v>
      </c>
      <c r="E1907">
        <v>23234.15</v>
      </c>
      <c r="F1907" s="2">
        <f t="shared" si="88"/>
        <v>26.25</v>
      </c>
      <c r="G1907" s="3">
        <f t="shared" si="89"/>
        <v>43.008201671873977</v>
      </c>
      <c r="H1907" t="str">
        <f t="shared" si="87"/>
        <v>2026-09</v>
      </c>
      <c r="I1907">
        <v>3</v>
      </c>
    </row>
    <row r="1908" spans="1:9" x14ac:dyDescent="0.25">
      <c r="A1908" t="s">
        <v>1913</v>
      </c>
      <c r="B1908">
        <v>23234.400000000001</v>
      </c>
      <c r="C1908">
        <v>23264.45</v>
      </c>
      <c r="D1908">
        <v>23234.15</v>
      </c>
      <c r="E1908">
        <v>23258.6</v>
      </c>
      <c r="F1908" s="2">
        <f t="shared" si="88"/>
        <v>30.299999999999272</v>
      </c>
      <c r="G1908" s="3">
        <f t="shared" si="89"/>
        <v>42.100472981025788</v>
      </c>
      <c r="H1908" t="str">
        <f t="shared" si="87"/>
        <v>2026-09</v>
      </c>
      <c r="I1908">
        <v>3</v>
      </c>
    </row>
    <row r="1909" spans="1:9" x14ac:dyDescent="0.25">
      <c r="A1909" t="s">
        <v>1914</v>
      </c>
      <c r="B1909">
        <v>23258.65</v>
      </c>
      <c r="C1909">
        <v>23259.05</v>
      </c>
      <c r="D1909">
        <v>23241.75</v>
      </c>
      <c r="E1909">
        <v>23242.1</v>
      </c>
      <c r="F1909" s="2">
        <f t="shared" si="88"/>
        <v>17.299999999999272</v>
      </c>
      <c r="G1909" s="3">
        <f t="shared" si="89"/>
        <v>40.329010625238183</v>
      </c>
      <c r="H1909" t="str">
        <f t="shared" si="87"/>
        <v>2026-09</v>
      </c>
      <c r="I1909">
        <v>3</v>
      </c>
    </row>
    <row r="1910" spans="1:9" x14ac:dyDescent="0.25">
      <c r="A1910" t="s">
        <v>1915</v>
      </c>
      <c r="B1910">
        <v>23242.799999999999</v>
      </c>
      <c r="C1910">
        <v>23284.75</v>
      </c>
      <c r="D1910">
        <v>23240.55</v>
      </c>
      <c r="E1910">
        <v>23258.7</v>
      </c>
      <c r="F1910" s="2">
        <f t="shared" si="88"/>
        <v>44.200000000000728</v>
      </c>
      <c r="G1910" s="3">
        <f t="shared" si="89"/>
        <v>40.60550986629265</v>
      </c>
      <c r="H1910" t="str">
        <f t="shared" si="87"/>
        <v>2026-09</v>
      </c>
      <c r="I1910">
        <v>3</v>
      </c>
    </row>
    <row r="1911" spans="1:9" x14ac:dyDescent="0.25">
      <c r="A1911" t="s">
        <v>1916</v>
      </c>
      <c r="B1911">
        <v>23258.400000000001</v>
      </c>
      <c r="C1911">
        <v>23271.3</v>
      </c>
      <c r="D1911">
        <v>23220.6</v>
      </c>
      <c r="E1911">
        <v>23220.85</v>
      </c>
      <c r="F1911" s="2">
        <f t="shared" si="88"/>
        <v>50.700000000000728</v>
      </c>
      <c r="G1911" s="3">
        <f t="shared" si="89"/>
        <v>41.326544875843226</v>
      </c>
      <c r="H1911" t="str">
        <f t="shared" si="87"/>
        <v>2026-09</v>
      </c>
      <c r="I1911">
        <v>3</v>
      </c>
    </row>
    <row r="1912" spans="1:9" x14ac:dyDescent="0.25">
      <c r="A1912" t="s">
        <v>1917</v>
      </c>
      <c r="B1912">
        <v>23220.799999999999</v>
      </c>
      <c r="C1912">
        <v>23237.35</v>
      </c>
      <c r="D1912">
        <v>23209.8</v>
      </c>
      <c r="E1912">
        <v>23212.1</v>
      </c>
      <c r="F1912" s="2">
        <f t="shared" si="88"/>
        <v>27.549999999999272</v>
      </c>
      <c r="G1912" s="3">
        <f t="shared" si="89"/>
        <v>40.342505956140087</v>
      </c>
      <c r="H1912" t="str">
        <f t="shared" si="87"/>
        <v>2026-09</v>
      </c>
      <c r="I1912">
        <v>3</v>
      </c>
    </row>
    <row r="1913" spans="1:9" x14ac:dyDescent="0.25">
      <c r="A1913" t="s">
        <v>1918</v>
      </c>
      <c r="B1913">
        <v>23212.2</v>
      </c>
      <c r="C1913">
        <v>23229.15</v>
      </c>
      <c r="D1913">
        <v>23212.2</v>
      </c>
      <c r="E1913">
        <v>23221.5</v>
      </c>
      <c r="F1913" s="2">
        <f t="shared" si="88"/>
        <v>17.05000000000291</v>
      </c>
      <c r="G1913" s="3">
        <f t="shared" si="89"/>
        <v>38.678755530701714</v>
      </c>
      <c r="H1913" t="str">
        <f t="shared" si="87"/>
        <v>2026-09</v>
      </c>
      <c r="I1913">
        <v>3</v>
      </c>
    </row>
    <row r="1914" spans="1:9" x14ac:dyDescent="0.25">
      <c r="A1914" t="s">
        <v>1919</v>
      </c>
      <c r="B1914">
        <v>23221.05</v>
      </c>
      <c r="C1914">
        <v>23239.25</v>
      </c>
      <c r="D1914">
        <v>23219.35</v>
      </c>
      <c r="E1914">
        <v>23238.55</v>
      </c>
      <c r="F1914" s="2">
        <f t="shared" si="88"/>
        <v>19.900000000001455</v>
      </c>
      <c r="G1914" s="3">
        <f t="shared" si="89"/>
        <v>37.337415849937415</v>
      </c>
      <c r="H1914" t="str">
        <f t="shared" si="87"/>
        <v>2026-09</v>
      </c>
      <c r="I1914">
        <v>3</v>
      </c>
    </row>
    <row r="1915" spans="1:9" x14ac:dyDescent="0.25">
      <c r="A1915" t="s">
        <v>1920</v>
      </c>
      <c r="B1915">
        <v>23238.3</v>
      </c>
      <c r="C1915">
        <v>23246.45</v>
      </c>
      <c r="D1915">
        <v>23224.400000000001</v>
      </c>
      <c r="E1915">
        <v>23232.400000000001</v>
      </c>
      <c r="F1915" s="2">
        <f t="shared" si="88"/>
        <v>22.049999999999272</v>
      </c>
      <c r="G1915" s="3">
        <f t="shared" si="89"/>
        <v>36.245457574941831</v>
      </c>
      <c r="H1915" t="str">
        <f t="shared" si="87"/>
        <v>2026-09</v>
      </c>
      <c r="I1915">
        <v>3</v>
      </c>
    </row>
    <row r="1916" spans="1:9" x14ac:dyDescent="0.25">
      <c r="A1916" t="s">
        <v>1921</v>
      </c>
      <c r="B1916">
        <v>23231.75</v>
      </c>
      <c r="C1916">
        <v>23237.65</v>
      </c>
      <c r="D1916">
        <v>23221.85</v>
      </c>
      <c r="E1916">
        <v>23234.35</v>
      </c>
      <c r="F1916" s="2">
        <f t="shared" si="88"/>
        <v>15.80000000000291</v>
      </c>
      <c r="G1916" s="3">
        <f t="shared" si="89"/>
        <v>34.785067748160479</v>
      </c>
      <c r="H1916" t="str">
        <f t="shared" si="87"/>
        <v>2026-09</v>
      </c>
      <c r="I1916">
        <v>3</v>
      </c>
    </row>
    <row r="1917" spans="1:9" x14ac:dyDescent="0.25">
      <c r="A1917" t="s">
        <v>1922</v>
      </c>
      <c r="B1917">
        <v>23234.25</v>
      </c>
      <c r="C1917">
        <v>23261.4</v>
      </c>
      <c r="D1917">
        <v>23230.7</v>
      </c>
      <c r="E1917">
        <v>23235.8</v>
      </c>
      <c r="F1917" s="2">
        <f t="shared" si="88"/>
        <v>30.700000000000728</v>
      </c>
      <c r="G1917" s="3">
        <f t="shared" si="89"/>
        <v>34.493277194720498</v>
      </c>
      <c r="H1917" t="str">
        <f t="shared" si="87"/>
        <v>2026-09</v>
      </c>
      <c r="I1917">
        <v>3</v>
      </c>
    </row>
    <row r="1918" spans="1:9" x14ac:dyDescent="0.25">
      <c r="A1918" t="s">
        <v>1923</v>
      </c>
      <c r="B1918">
        <v>23236.35</v>
      </c>
      <c r="C1918">
        <v>23237</v>
      </c>
      <c r="D1918">
        <v>23215.85</v>
      </c>
      <c r="E1918">
        <v>23224.3</v>
      </c>
      <c r="F1918" s="2">
        <f t="shared" si="88"/>
        <v>21.150000000001455</v>
      </c>
      <c r="G1918" s="3">
        <f t="shared" si="89"/>
        <v>33.54018596652628</v>
      </c>
      <c r="H1918" t="str">
        <f t="shared" si="87"/>
        <v>2026-09</v>
      </c>
      <c r="I1918">
        <v>3</v>
      </c>
    </row>
    <row r="1919" spans="1:9" x14ac:dyDescent="0.25">
      <c r="A1919" t="s">
        <v>1924</v>
      </c>
      <c r="B1919">
        <v>23196.7</v>
      </c>
      <c r="C1919">
        <v>23267.7</v>
      </c>
      <c r="D1919">
        <v>23193.65</v>
      </c>
      <c r="E1919">
        <v>23252.05</v>
      </c>
      <c r="F1919" s="2">
        <f t="shared" si="88"/>
        <v>74.049999999999272</v>
      </c>
      <c r="G1919" s="3">
        <f t="shared" si="89"/>
        <v>36.433744111774352</v>
      </c>
      <c r="H1919" t="str">
        <f t="shared" si="87"/>
        <v>2026-09</v>
      </c>
      <c r="I1919">
        <v>3</v>
      </c>
    </row>
    <row r="1920" spans="1:9" x14ac:dyDescent="0.25">
      <c r="A1920" t="s">
        <v>1925</v>
      </c>
      <c r="B1920">
        <v>23253.45</v>
      </c>
      <c r="C1920">
        <v>23303.85</v>
      </c>
      <c r="D1920">
        <v>23229.45</v>
      </c>
      <c r="E1920">
        <v>23252.3</v>
      </c>
      <c r="F1920" s="2">
        <f t="shared" si="88"/>
        <v>74.399999999997817</v>
      </c>
      <c r="G1920" s="3">
        <f t="shared" si="89"/>
        <v>39.145619532361742</v>
      </c>
      <c r="H1920" t="str">
        <f t="shared" si="87"/>
        <v>2026-09</v>
      </c>
      <c r="I1920">
        <v>3</v>
      </c>
    </row>
    <row r="1921" spans="1:9" x14ac:dyDescent="0.25">
      <c r="A1921" t="s">
        <v>1926</v>
      </c>
      <c r="B1921">
        <v>23254.6</v>
      </c>
      <c r="C1921">
        <v>23290.1</v>
      </c>
      <c r="D1921">
        <v>23244.3</v>
      </c>
      <c r="E1921">
        <v>23284.5</v>
      </c>
      <c r="F1921" s="2">
        <f t="shared" si="88"/>
        <v>45.799999999999272</v>
      </c>
      <c r="G1921" s="3">
        <f t="shared" si="89"/>
        <v>39.620932422907281</v>
      </c>
      <c r="H1921" t="str">
        <f t="shared" si="87"/>
        <v>2026-09</v>
      </c>
      <c r="I1921">
        <v>3</v>
      </c>
    </row>
    <row r="1922" spans="1:9" x14ac:dyDescent="0.25">
      <c r="A1922" t="s">
        <v>1927</v>
      </c>
      <c r="B1922">
        <v>23286.65</v>
      </c>
      <c r="C1922">
        <v>23325.4</v>
      </c>
      <c r="D1922">
        <v>23279.8</v>
      </c>
      <c r="E1922">
        <v>23311.1</v>
      </c>
      <c r="F1922" s="2">
        <f t="shared" si="88"/>
        <v>45.600000000002183</v>
      </c>
      <c r="G1922" s="3">
        <f t="shared" si="89"/>
        <v>40.048008678414064</v>
      </c>
      <c r="H1922" t="str">
        <f t="shared" ref="H1922:H1985" si="90">LEFT(A1922,7)</f>
        <v>2026-09</v>
      </c>
      <c r="I1922">
        <v>3</v>
      </c>
    </row>
    <row r="1923" spans="1:9" x14ac:dyDescent="0.25">
      <c r="A1923" t="s">
        <v>1928</v>
      </c>
      <c r="B1923">
        <v>23313.3</v>
      </c>
      <c r="C1923">
        <v>23319.5</v>
      </c>
      <c r="D1923">
        <v>23286.85</v>
      </c>
      <c r="E1923">
        <v>23294.95</v>
      </c>
      <c r="F1923" s="2">
        <f t="shared" ref="F1923:F1986" si="91">MAX(C1923-D1923,ABS(C1923-E1922),ABS(D1923-E1922))</f>
        <v>32.650000000001455</v>
      </c>
      <c r="G1923" s="3">
        <f t="shared" si="89"/>
        <v>39.519579487098881</v>
      </c>
      <c r="H1923" t="str">
        <f t="shared" si="90"/>
        <v>2026-09</v>
      </c>
      <c r="I1923">
        <v>3</v>
      </c>
    </row>
    <row r="1924" spans="1:9" x14ac:dyDescent="0.25">
      <c r="A1924" t="s">
        <v>1929</v>
      </c>
      <c r="B1924">
        <v>23295</v>
      </c>
      <c r="C1924">
        <v>23298.45</v>
      </c>
      <c r="D1924">
        <v>23265.45</v>
      </c>
      <c r="E1924">
        <v>23266.799999999999</v>
      </c>
      <c r="F1924" s="2">
        <f t="shared" si="91"/>
        <v>33</v>
      </c>
      <c r="G1924" s="3">
        <f t="shared" si="89"/>
        <v>39.053895238020388</v>
      </c>
      <c r="H1924" t="str">
        <f t="shared" si="90"/>
        <v>2026-09</v>
      </c>
      <c r="I1924">
        <v>3</v>
      </c>
    </row>
    <row r="1925" spans="1:9" x14ac:dyDescent="0.25">
      <c r="A1925" t="s">
        <v>1930</v>
      </c>
      <c r="B1925">
        <v>23268.85</v>
      </c>
      <c r="C1925">
        <v>23283.9</v>
      </c>
      <c r="D1925">
        <v>23260.6</v>
      </c>
      <c r="E1925">
        <v>23267.85</v>
      </c>
      <c r="F1925" s="2">
        <f t="shared" si="91"/>
        <v>23.30000000000291</v>
      </c>
      <c r="G1925" s="3">
        <f t="shared" si="89"/>
        <v>37.928617006733425</v>
      </c>
      <c r="H1925" t="str">
        <f t="shared" si="90"/>
        <v>2026-09</v>
      </c>
      <c r="I1925">
        <v>3</v>
      </c>
    </row>
    <row r="1926" spans="1:9" x14ac:dyDescent="0.25">
      <c r="A1926" t="s">
        <v>1931</v>
      </c>
      <c r="B1926">
        <v>23268.45</v>
      </c>
      <c r="C1926">
        <v>23268.9</v>
      </c>
      <c r="D1926">
        <v>23210.3</v>
      </c>
      <c r="E1926">
        <v>23224.05</v>
      </c>
      <c r="F1926" s="2">
        <f t="shared" si="91"/>
        <v>58.600000000002183</v>
      </c>
      <c r="G1926" s="3">
        <f t="shared" si="89"/>
        <v>39.405144363395479</v>
      </c>
      <c r="H1926" t="str">
        <f t="shared" si="90"/>
        <v>2026-09</v>
      </c>
      <c r="I1926">
        <v>3</v>
      </c>
    </row>
    <row r="1927" spans="1:9" x14ac:dyDescent="0.25">
      <c r="A1927" t="s">
        <v>1932</v>
      </c>
      <c r="B1927">
        <v>23226.05</v>
      </c>
      <c r="C1927">
        <v>23256.85</v>
      </c>
      <c r="D1927">
        <v>23222.6</v>
      </c>
      <c r="E1927">
        <v>23246.05</v>
      </c>
      <c r="F1927" s="2">
        <f t="shared" si="91"/>
        <v>34.25</v>
      </c>
      <c r="G1927" s="3">
        <f t="shared" si="89"/>
        <v>39.036919766010087</v>
      </c>
      <c r="H1927" t="str">
        <f t="shared" si="90"/>
        <v>2026-09</v>
      </c>
      <c r="I1927">
        <v>3</v>
      </c>
    </row>
    <row r="1928" spans="1:9" x14ac:dyDescent="0.25">
      <c r="A1928" t="s">
        <v>1933</v>
      </c>
      <c r="B1928">
        <v>23247.25</v>
      </c>
      <c r="C1928">
        <v>23276.65</v>
      </c>
      <c r="D1928">
        <v>23234.65</v>
      </c>
      <c r="E1928">
        <v>23276.15</v>
      </c>
      <c r="F1928" s="2">
        <f t="shared" si="91"/>
        <v>42</v>
      </c>
      <c r="G1928" s="3">
        <f t="shared" si="89"/>
        <v>39.248568354152226</v>
      </c>
      <c r="H1928" t="str">
        <f t="shared" si="90"/>
        <v>2026-09</v>
      </c>
      <c r="I1928">
        <v>3</v>
      </c>
    </row>
    <row r="1929" spans="1:9" x14ac:dyDescent="0.25">
      <c r="A1929" t="s">
        <v>1934</v>
      </c>
      <c r="B1929">
        <v>23276.75</v>
      </c>
      <c r="C1929">
        <v>23315.3</v>
      </c>
      <c r="D1929">
        <v>23264.799999999999</v>
      </c>
      <c r="E1929">
        <v>23315.3</v>
      </c>
      <c r="F1929" s="2">
        <f t="shared" si="91"/>
        <v>50.5</v>
      </c>
      <c r="G1929" s="3">
        <f t="shared" si="89"/>
        <v>40.052242043141355</v>
      </c>
      <c r="H1929" t="str">
        <f t="shared" si="90"/>
        <v>2026-09</v>
      </c>
      <c r="I1929">
        <v>3</v>
      </c>
    </row>
    <row r="1930" spans="1:9" x14ac:dyDescent="0.25">
      <c r="A1930" t="s">
        <v>1935</v>
      </c>
      <c r="B1930">
        <v>23316.75</v>
      </c>
      <c r="C1930">
        <v>23346.35</v>
      </c>
      <c r="D1930">
        <v>23296.799999999999</v>
      </c>
      <c r="E1930">
        <v>23337.9</v>
      </c>
      <c r="F1930" s="2">
        <f t="shared" si="91"/>
        <v>49.549999999999272</v>
      </c>
      <c r="G1930" s="3">
        <f t="shared" si="89"/>
        <v>40.730653325774064</v>
      </c>
      <c r="H1930" t="str">
        <f t="shared" si="90"/>
        <v>2026-09</v>
      </c>
      <c r="I1930">
        <v>3</v>
      </c>
    </row>
    <row r="1931" spans="1:9" x14ac:dyDescent="0.25">
      <c r="A1931" t="s">
        <v>1936</v>
      </c>
      <c r="B1931">
        <v>23340.65</v>
      </c>
      <c r="C1931">
        <v>23363.55</v>
      </c>
      <c r="D1931">
        <v>23334.799999999999</v>
      </c>
      <c r="E1931">
        <v>23346.75</v>
      </c>
      <c r="F1931" s="2">
        <f t="shared" si="91"/>
        <v>28.75</v>
      </c>
      <c r="G1931" s="3">
        <f t="shared" si="89"/>
        <v>39.874892373933058</v>
      </c>
      <c r="H1931" t="str">
        <f t="shared" si="90"/>
        <v>2026-09</v>
      </c>
      <c r="I1931">
        <v>3</v>
      </c>
    </row>
    <row r="1932" spans="1:9" x14ac:dyDescent="0.25">
      <c r="A1932" t="s">
        <v>1937</v>
      </c>
      <c r="B1932">
        <v>23347.85</v>
      </c>
      <c r="C1932">
        <v>23361.4</v>
      </c>
      <c r="D1932">
        <v>23338.35</v>
      </c>
      <c r="E1932">
        <v>23346.85</v>
      </c>
      <c r="F1932" s="2">
        <f t="shared" si="91"/>
        <v>23.05000000000291</v>
      </c>
      <c r="G1932" s="3">
        <f t="shared" si="89"/>
        <v>38.673114347223759</v>
      </c>
      <c r="H1932" t="str">
        <f t="shared" si="90"/>
        <v>2026-09</v>
      </c>
      <c r="I1932">
        <v>3</v>
      </c>
    </row>
    <row r="1933" spans="1:9" x14ac:dyDescent="0.25">
      <c r="A1933" t="s">
        <v>1938</v>
      </c>
      <c r="B1933">
        <v>23348.6</v>
      </c>
      <c r="C1933">
        <v>23350.3</v>
      </c>
      <c r="D1933">
        <v>23333.95</v>
      </c>
      <c r="E1933">
        <v>23340.65</v>
      </c>
      <c r="F1933" s="2">
        <f t="shared" si="91"/>
        <v>16.349999999998545</v>
      </c>
      <c r="G1933" s="3">
        <f t="shared" si="89"/>
        <v>37.078606179564815</v>
      </c>
      <c r="H1933" t="str">
        <f t="shared" si="90"/>
        <v>2026-09</v>
      </c>
      <c r="I1933">
        <v>3</v>
      </c>
    </row>
    <row r="1934" spans="1:9" x14ac:dyDescent="0.25">
      <c r="A1934" t="s">
        <v>1939</v>
      </c>
      <c r="B1934">
        <v>23342.3</v>
      </c>
      <c r="C1934">
        <v>23346.3</v>
      </c>
      <c r="D1934">
        <v>23319.95</v>
      </c>
      <c r="E1934">
        <v>23321.65</v>
      </c>
      <c r="F1934" s="2">
        <f t="shared" si="91"/>
        <v>26.349999999998545</v>
      </c>
      <c r="G1934" s="3">
        <f t="shared" si="89"/>
        <v>36.312277166738653</v>
      </c>
      <c r="H1934" t="str">
        <f t="shared" si="90"/>
        <v>2026-09</v>
      </c>
      <c r="I1934">
        <v>3</v>
      </c>
    </row>
    <row r="1935" spans="1:9" x14ac:dyDescent="0.25">
      <c r="A1935" t="s">
        <v>1940</v>
      </c>
      <c r="B1935">
        <v>23322.5</v>
      </c>
      <c r="C1935">
        <v>23325.25</v>
      </c>
      <c r="D1935">
        <v>23263.200000000001</v>
      </c>
      <c r="E1935">
        <v>23263.3</v>
      </c>
      <c r="F1935" s="2">
        <f t="shared" si="91"/>
        <v>62.049999999999272</v>
      </c>
      <c r="G1935" s="3">
        <f t="shared" si="89"/>
        <v>38.150685940542985</v>
      </c>
      <c r="H1935" t="str">
        <f t="shared" si="90"/>
        <v>2026-09</v>
      </c>
      <c r="I1935">
        <v>3</v>
      </c>
    </row>
    <row r="1936" spans="1:9" x14ac:dyDescent="0.25">
      <c r="A1936" t="s">
        <v>1941</v>
      </c>
      <c r="B1936">
        <v>23266</v>
      </c>
      <c r="C1936">
        <v>23278.1</v>
      </c>
      <c r="D1936">
        <v>23244.05</v>
      </c>
      <c r="E1936">
        <v>23263.85</v>
      </c>
      <c r="F1936" s="2">
        <f t="shared" si="91"/>
        <v>34.049999999999272</v>
      </c>
      <c r="G1936" s="3">
        <f t="shared" ref="G1936:G1999" si="92">(G1935*13+F1936)/14</f>
        <v>37.857779801932722</v>
      </c>
      <c r="H1936" t="str">
        <f t="shared" si="90"/>
        <v>2026-09</v>
      </c>
      <c r="I1936">
        <v>3</v>
      </c>
    </row>
    <row r="1937" spans="1:9" x14ac:dyDescent="0.25">
      <c r="A1937" t="s">
        <v>1942</v>
      </c>
      <c r="B1937">
        <v>23265.95</v>
      </c>
      <c r="C1937">
        <v>23277.15</v>
      </c>
      <c r="D1937">
        <v>23261</v>
      </c>
      <c r="E1937">
        <v>23263.7</v>
      </c>
      <c r="F1937" s="2">
        <f t="shared" si="91"/>
        <v>16.150000000001455</v>
      </c>
      <c r="G1937" s="3">
        <f t="shared" si="92"/>
        <v>36.307224101794773</v>
      </c>
      <c r="H1937" t="str">
        <f t="shared" si="90"/>
        <v>2026-09</v>
      </c>
      <c r="I1937">
        <v>3</v>
      </c>
    </row>
    <row r="1938" spans="1:9" x14ac:dyDescent="0.25">
      <c r="A1938" t="s">
        <v>1943</v>
      </c>
      <c r="B1938">
        <v>23265.4</v>
      </c>
      <c r="C1938">
        <v>23287.15</v>
      </c>
      <c r="D1938">
        <v>23262.1</v>
      </c>
      <c r="E1938">
        <v>23277.7</v>
      </c>
      <c r="F1938" s="2">
        <f t="shared" si="91"/>
        <v>25.05000000000291</v>
      </c>
      <c r="G1938" s="3">
        <f t="shared" si="92"/>
        <v>35.503136665952496</v>
      </c>
      <c r="H1938" t="str">
        <f t="shared" si="90"/>
        <v>2026-09</v>
      </c>
      <c r="I1938">
        <v>3</v>
      </c>
    </row>
    <row r="1939" spans="1:9" x14ac:dyDescent="0.25">
      <c r="A1939" t="s">
        <v>1944</v>
      </c>
      <c r="B1939">
        <v>23279.55</v>
      </c>
      <c r="C1939">
        <v>23291.75</v>
      </c>
      <c r="D1939">
        <v>23269.45</v>
      </c>
      <c r="E1939">
        <v>23282.55</v>
      </c>
      <c r="F1939" s="2">
        <f t="shared" si="91"/>
        <v>22.299999999999272</v>
      </c>
      <c r="G1939" s="3">
        <f t="shared" si="92"/>
        <v>34.560055475527271</v>
      </c>
      <c r="H1939" t="str">
        <f t="shared" si="90"/>
        <v>2026-09</v>
      </c>
      <c r="I1939">
        <v>3</v>
      </c>
    </row>
    <row r="1940" spans="1:9" x14ac:dyDescent="0.25">
      <c r="A1940" t="s">
        <v>1945</v>
      </c>
      <c r="B1940">
        <v>23283.75</v>
      </c>
      <c r="C1940">
        <v>23309.95</v>
      </c>
      <c r="D1940">
        <v>23273.4</v>
      </c>
      <c r="E1940">
        <v>23287</v>
      </c>
      <c r="F1940" s="2">
        <f t="shared" si="91"/>
        <v>36.549999999999272</v>
      </c>
      <c r="G1940" s="3">
        <f t="shared" si="92"/>
        <v>34.70219437013241</v>
      </c>
      <c r="H1940" t="str">
        <f t="shared" si="90"/>
        <v>2026-09</v>
      </c>
      <c r="I1940">
        <v>3</v>
      </c>
    </row>
    <row r="1941" spans="1:9" x14ac:dyDescent="0.25">
      <c r="A1941" t="s">
        <v>1946</v>
      </c>
      <c r="B1941">
        <v>23286.799999999999</v>
      </c>
      <c r="C1941">
        <v>23311.65</v>
      </c>
      <c r="D1941">
        <v>23283.45</v>
      </c>
      <c r="E1941">
        <v>23284.95</v>
      </c>
      <c r="F1941" s="2">
        <f t="shared" si="91"/>
        <v>28.200000000000728</v>
      </c>
      <c r="G1941" s="3">
        <f t="shared" si="92"/>
        <v>34.237751915123006</v>
      </c>
      <c r="H1941" t="str">
        <f t="shared" si="90"/>
        <v>2026-09</v>
      </c>
      <c r="I1941">
        <v>3</v>
      </c>
    </row>
    <row r="1942" spans="1:9" x14ac:dyDescent="0.25">
      <c r="A1942" t="s">
        <v>1947</v>
      </c>
      <c r="B1942">
        <v>23285</v>
      </c>
      <c r="C1942">
        <v>23298.15</v>
      </c>
      <c r="D1942">
        <v>23278.75</v>
      </c>
      <c r="E1942">
        <v>23294.7</v>
      </c>
      <c r="F1942" s="2">
        <f t="shared" si="91"/>
        <v>19.400000000001455</v>
      </c>
      <c r="G1942" s="3">
        <f t="shared" si="92"/>
        <v>33.177912492614325</v>
      </c>
      <c r="H1942" t="str">
        <f t="shared" si="90"/>
        <v>2026-09</v>
      </c>
      <c r="I1942">
        <v>3</v>
      </c>
    </row>
    <row r="1943" spans="1:9" x14ac:dyDescent="0.25">
      <c r="A1943" t="s">
        <v>1948</v>
      </c>
      <c r="B1943">
        <v>23331.25</v>
      </c>
      <c r="C1943">
        <v>23360.55</v>
      </c>
      <c r="D1943">
        <v>23291.8</v>
      </c>
      <c r="E1943">
        <v>23301.05</v>
      </c>
      <c r="F1943" s="2">
        <f t="shared" si="91"/>
        <v>68.75</v>
      </c>
      <c r="G1943" s="3">
        <f t="shared" si="92"/>
        <v>35.718775885999015</v>
      </c>
      <c r="H1943" t="str">
        <f t="shared" si="90"/>
        <v>2026-09</v>
      </c>
      <c r="I1943">
        <v>3</v>
      </c>
    </row>
    <row r="1944" spans="1:9" x14ac:dyDescent="0.25">
      <c r="A1944" t="s">
        <v>1949</v>
      </c>
      <c r="B1944">
        <v>23300.95</v>
      </c>
      <c r="C1944">
        <v>23325.1</v>
      </c>
      <c r="D1944">
        <v>23286.6</v>
      </c>
      <c r="E1944">
        <v>23312.799999999999</v>
      </c>
      <c r="F1944" s="2">
        <f t="shared" si="91"/>
        <v>38.5</v>
      </c>
      <c r="G1944" s="3">
        <f t="shared" si="92"/>
        <v>35.917434751284802</v>
      </c>
      <c r="H1944" t="str">
        <f t="shared" si="90"/>
        <v>2026-09</v>
      </c>
      <c r="I1944">
        <v>3</v>
      </c>
    </row>
    <row r="1945" spans="1:9" x14ac:dyDescent="0.25">
      <c r="A1945" t="s">
        <v>1950</v>
      </c>
      <c r="B1945">
        <v>23312.85</v>
      </c>
      <c r="C1945">
        <v>23338.400000000001</v>
      </c>
      <c r="D1945">
        <v>23305</v>
      </c>
      <c r="E1945">
        <v>23329.15</v>
      </c>
      <c r="F1945" s="2">
        <f t="shared" si="91"/>
        <v>33.400000000001455</v>
      </c>
      <c r="G1945" s="3">
        <f t="shared" si="92"/>
        <v>35.737617983335994</v>
      </c>
      <c r="H1945" t="str">
        <f t="shared" si="90"/>
        <v>2026-09</v>
      </c>
      <c r="I1945">
        <v>3</v>
      </c>
    </row>
    <row r="1946" spans="1:9" x14ac:dyDescent="0.25">
      <c r="A1946" t="s">
        <v>1951</v>
      </c>
      <c r="B1946">
        <v>23328.75</v>
      </c>
      <c r="C1946">
        <v>23332.95</v>
      </c>
      <c r="D1946">
        <v>23309</v>
      </c>
      <c r="E1946">
        <v>23327.55</v>
      </c>
      <c r="F1946" s="2">
        <f t="shared" si="91"/>
        <v>23.950000000000728</v>
      </c>
      <c r="G1946" s="3">
        <f t="shared" si="92"/>
        <v>34.895645270240621</v>
      </c>
      <c r="H1946" t="str">
        <f t="shared" si="90"/>
        <v>2026-09</v>
      </c>
      <c r="I1946">
        <v>3</v>
      </c>
    </row>
    <row r="1947" spans="1:9" x14ac:dyDescent="0.25">
      <c r="A1947" t="s">
        <v>1952</v>
      </c>
      <c r="B1947">
        <v>23327.599999999999</v>
      </c>
      <c r="C1947">
        <v>23332</v>
      </c>
      <c r="D1947">
        <v>23299.75</v>
      </c>
      <c r="E1947">
        <v>23312.5</v>
      </c>
      <c r="F1947" s="2">
        <f t="shared" si="91"/>
        <v>32.25</v>
      </c>
      <c r="G1947" s="3">
        <f t="shared" si="92"/>
        <v>34.706670608080579</v>
      </c>
      <c r="H1947" t="str">
        <f t="shared" si="90"/>
        <v>2026-09</v>
      </c>
      <c r="I1947">
        <v>3</v>
      </c>
    </row>
    <row r="1948" spans="1:9" x14ac:dyDescent="0.25">
      <c r="A1948" t="s">
        <v>1953</v>
      </c>
      <c r="B1948">
        <v>23312.55</v>
      </c>
      <c r="C1948">
        <v>23317.3</v>
      </c>
      <c r="D1948">
        <v>23294</v>
      </c>
      <c r="E1948">
        <v>23305.75</v>
      </c>
      <c r="F1948" s="2">
        <f t="shared" si="91"/>
        <v>23.299999999999272</v>
      </c>
      <c r="G1948" s="3">
        <f t="shared" si="92"/>
        <v>33.891908421789061</v>
      </c>
      <c r="H1948" t="str">
        <f t="shared" si="90"/>
        <v>2026-09</v>
      </c>
      <c r="I1948">
        <v>3</v>
      </c>
    </row>
    <row r="1949" spans="1:9" x14ac:dyDescent="0.25">
      <c r="A1949" t="s">
        <v>1954</v>
      </c>
      <c r="B1949">
        <v>23305</v>
      </c>
      <c r="C1949">
        <v>23316.2</v>
      </c>
      <c r="D1949">
        <v>23297.7</v>
      </c>
      <c r="E1949">
        <v>23309.25</v>
      </c>
      <c r="F1949" s="2">
        <f t="shared" si="91"/>
        <v>18.5</v>
      </c>
      <c r="G1949" s="3">
        <f t="shared" si="92"/>
        <v>32.792486391661271</v>
      </c>
      <c r="H1949" t="str">
        <f t="shared" si="90"/>
        <v>2026-09</v>
      </c>
      <c r="I1949">
        <v>3</v>
      </c>
    </row>
    <row r="1950" spans="1:9" x14ac:dyDescent="0.25">
      <c r="A1950" t="s">
        <v>1955</v>
      </c>
      <c r="B1950">
        <v>23309.15</v>
      </c>
      <c r="C1950">
        <v>23313.3</v>
      </c>
      <c r="D1950">
        <v>23289.75</v>
      </c>
      <c r="E1950">
        <v>23304.35</v>
      </c>
      <c r="F1950" s="2">
        <f t="shared" si="91"/>
        <v>23.549999999999272</v>
      </c>
      <c r="G1950" s="3">
        <f t="shared" si="92"/>
        <v>32.132308792256843</v>
      </c>
      <c r="H1950" t="str">
        <f t="shared" si="90"/>
        <v>2026-09</v>
      </c>
      <c r="I1950">
        <v>3</v>
      </c>
    </row>
    <row r="1951" spans="1:9" x14ac:dyDescent="0.25">
      <c r="A1951" t="s">
        <v>1956</v>
      </c>
      <c r="B1951">
        <v>23303.65</v>
      </c>
      <c r="C1951">
        <v>23306.6</v>
      </c>
      <c r="D1951">
        <v>23291.55</v>
      </c>
      <c r="E1951">
        <v>23294.5</v>
      </c>
      <c r="F1951" s="2">
        <f t="shared" si="91"/>
        <v>15.049999999999272</v>
      </c>
      <c r="G1951" s="3">
        <f t="shared" si="92"/>
        <v>30.912143878524159</v>
      </c>
      <c r="H1951" t="str">
        <f t="shared" si="90"/>
        <v>2026-09</v>
      </c>
      <c r="I1951">
        <v>3</v>
      </c>
    </row>
    <row r="1952" spans="1:9" x14ac:dyDescent="0.25">
      <c r="A1952" t="s">
        <v>1957</v>
      </c>
      <c r="B1952">
        <v>23294.75</v>
      </c>
      <c r="C1952">
        <v>23306.799999999999</v>
      </c>
      <c r="D1952">
        <v>23291.7</v>
      </c>
      <c r="E1952">
        <v>23298.65</v>
      </c>
      <c r="F1952" s="2">
        <f t="shared" si="91"/>
        <v>15.099999999998545</v>
      </c>
      <c r="G1952" s="3">
        <f t="shared" si="92"/>
        <v>29.782705030058043</v>
      </c>
      <c r="H1952" t="str">
        <f t="shared" si="90"/>
        <v>2026-09</v>
      </c>
      <c r="I1952">
        <v>3</v>
      </c>
    </row>
    <row r="1953" spans="1:9" x14ac:dyDescent="0.25">
      <c r="A1953" t="s">
        <v>1958</v>
      </c>
      <c r="B1953">
        <v>23298.55</v>
      </c>
      <c r="C1953">
        <v>23332.75</v>
      </c>
      <c r="D1953">
        <v>23298.2</v>
      </c>
      <c r="E1953">
        <v>23317.55</v>
      </c>
      <c r="F1953" s="2">
        <f t="shared" si="91"/>
        <v>34.549999999999272</v>
      </c>
      <c r="G1953" s="3">
        <f t="shared" si="92"/>
        <v>30.123226099339558</v>
      </c>
      <c r="H1953" t="str">
        <f t="shared" si="90"/>
        <v>2026-09</v>
      </c>
      <c r="I1953">
        <v>3</v>
      </c>
    </row>
    <row r="1954" spans="1:9" x14ac:dyDescent="0.25">
      <c r="A1954" t="s">
        <v>1959</v>
      </c>
      <c r="B1954">
        <v>23317.5</v>
      </c>
      <c r="C1954">
        <v>23332.3</v>
      </c>
      <c r="D1954">
        <v>23307.45</v>
      </c>
      <c r="E1954">
        <v>23320.3</v>
      </c>
      <c r="F1954" s="2">
        <f t="shared" si="91"/>
        <v>24.849999999998545</v>
      </c>
      <c r="G1954" s="3">
        <f t="shared" si="92"/>
        <v>29.746567092243769</v>
      </c>
      <c r="H1954" t="str">
        <f t="shared" si="90"/>
        <v>2026-09</v>
      </c>
      <c r="I1954">
        <v>3</v>
      </c>
    </row>
    <row r="1955" spans="1:9" x14ac:dyDescent="0.25">
      <c r="A1955" t="s">
        <v>1960</v>
      </c>
      <c r="B1955">
        <v>23320.9</v>
      </c>
      <c r="C1955">
        <v>23323.65</v>
      </c>
      <c r="D1955">
        <v>23305.95</v>
      </c>
      <c r="E1955">
        <v>23322.400000000001</v>
      </c>
      <c r="F1955" s="2">
        <f t="shared" si="91"/>
        <v>17.700000000000728</v>
      </c>
      <c r="G1955" s="3">
        <f t="shared" si="92"/>
        <v>28.886098014226409</v>
      </c>
      <c r="H1955" t="str">
        <f t="shared" si="90"/>
        <v>2026-09</v>
      </c>
      <c r="I1955">
        <v>3</v>
      </c>
    </row>
    <row r="1956" spans="1:9" x14ac:dyDescent="0.25">
      <c r="A1956" t="s">
        <v>1961</v>
      </c>
      <c r="B1956">
        <v>23322.2</v>
      </c>
      <c r="C1956">
        <v>23339.5</v>
      </c>
      <c r="D1956">
        <v>23321.05</v>
      </c>
      <c r="E1956">
        <v>23330.85</v>
      </c>
      <c r="F1956" s="2">
        <f t="shared" si="91"/>
        <v>18.450000000000728</v>
      </c>
      <c r="G1956" s="3">
        <f t="shared" si="92"/>
        <v>28.140662441781718</v>
      </c>
      <c r="H1956" t="str">
        <f t="shared" si="90"/>
        <v>2026-09</v>
      </c>
      <c r="I1956">
        <v>3</v>
      </c>
    </row>
    <row r="1957" spans="1:9" x14ac:dyDescent="0.25">
      <c r="A1957" t="s">
        <v>1962</v>
      </c>
      <c r="B1957">
        <v>23331.05</v>
      </c>
      <c r="C1957">
        <v>23333.7</v>
      </c>
      <c r="D1957">
        <v>23321.8</v>
      </c>
      <c r="E1957">
        <v>23329.95</v>
      </c>
      <c r="F1957" s="2">
        <f t="shared" si="91"/>
        <v>11.900000000001455</v>
      </c>
      <c r="G1957" s="3">
        <f t="shared" si="92"/>
        <v>26.980615124511701</v>
      </c>
      <c r="H1957" t="str">
        <f t="shared" si="90"/>
        <v>2026-09</v>
      </c>
      <c r="I1957">
        <v>3</v>
      </c>
    </row>
    <row r="1958" spans="1:9" x14ac:dyDescent="0.25">
      <c r="A1958" t="s">
        <v>1963</v>
      </c>
      <c r="B1958">
        <v>23329.599999999999</v>
      </c>
      <c r="C1958">
        <v>23342.55</v>
      </c>
      <c r="D1958">
        <v>23327.3</v>
      </c>
      <c r="E1958">
        <v>23330.1</v>
      </c>
      <c r="F1958" s="2">
        <f t="shared" si="91"/>
        <v>15.25</v>
      </c>
      <c r="G1958" s="3">
        <f t="shared" si="92"/>
        <v>26.142714044189436</v>
      </c>
      <c r="H1958" t="str">
        <f t="shared" si="90"/>
        <v>2026-09</v>
      </c>
      <c r="I1958">
        <v>3</v>
      </c>
    </row>
    <row r="1959" spans="1:9" x14ac:dyDescent="0.25">
      <c r="A1959" t="s">
        <v>1964</v>
      </c>
      <c r="B1959">
        <v>23330.05</v>
      </c>
      <c r="C1959">
        <v>23331.95</v>
      </c>
      <c r="D1959">
        <v>23318.45</v>
      </c>
      <c r="E1959">
        <v>23323.65</v>
      </c>
      <c r="F1959" s="2">
        <f t="shared" si="91"/>
        <v>13.5</v>
      </c>
      <c r="G1959" s="3">
        <f t="shared" si="92"/>
        <v>25.239663041033047</v>
      </c>
      <c r="H1959" t="str">
        <f t="shared" si="90"/>
        <v>2026-09</v>
      </c>
      <c r="I1959">
        <v>3</v>
      </c>
    </row>
    <row r="1960" spans="1:9" x14ac:dyDescent="0.25">
      <c r="A1960" t="s">
        <v>1965</v>
      </c>
      <c r="B1960">
        <v>23323.7</v>
      </c>
      <c r="C1960">
        <v>23334.1</v>
      </c>
      <c r="D1960">
        <v>23309.4</v>
      </c>
      <c r="E1960">
        <v>23310.1</v>
      </c>
      <c r="F1960" s="2">
        <f t="shared" si="91"/>
        <v>24.69999999999709</v>
      </c>
      <c r="G1960" s="3">
        <f t="shared" si="92"/>
        <v>25.201115680959049</v>
      </c>
      <c r="H1960" t="str">
        <f t="shared" si="90"/>
        <v>2026-09</v>
      </c>
      <c r="I1960">
        <v>3</v>
      </c>
    </row>
    <row r="1961" spans="1:9" x14ac:dyDescent="0.25">
      <c r="A1961" t="s">
        <v>1966</v>
      </c>
      <c r="B1961">
        <v>23310.05</v>
      </c>
      <c r="C1961">
        <v>23337.3</v>
      </c>
      <c r="D1961">
        <v>23304.7</v>
      </c>
      <c r="E1961">
        <v>23329.5</v>
      </c>
      <c r="F1961" s="2">
        <f t="shared" si="91"/>
        <v>32.599999999998545</v>
      </c>
      <c r="G1961" s="3">
        <f t="shared" si="92"/>
        <v>25.7296074180333</v>
      </c>
      <c r="H1961" t="str">
        <f t="shared" si="90"/>
        <v>2026-09</v>
      </c>
      <c r="I1961">
        <v>3</v>
      </c>
    </row>
    <row r="1962" spans="1:9" x14ac:dyDescent="0.25">
      <c r="A1962" t="s">
        <v>1967</v>
      </c>
      <c r="B1962">
        <v>23328.65</v>
      </c>
      <c r="C1962">
        <v>23359.55</v>
      </c>
      <c r="D1962">
        <v>23327.25</v>
      </c>
      <c r="E1962">
        <v>23348.5</v>
      </c>
      <c r="F1962" s="2">
        <f t="shared" si="91"/>
        <v>32.299999999999272</v>
      </c>
      <c r="G1962" s="3">
        <f t="shared" si="92"/>
        <v>26.198921173888014</v>
      </c>
      <c r="H1962" t="str">
        <f t="shared" si="90"/>
        <v>2026-09</v>
      </c>
      <c r="I1962">
        <v>3</v>
      </c>
    </row>
    <row r="1963" spans="1:9" x14ac:dyDescent="0.25">
      <c r="A1963" t="s">
        <v>1968</v>
      </c>
      <c r="B1963">
        <v>23348.45</v>
      </c>
      <c r="C1963">
        <v>23366.400000000001</v>
      </c>
      <c r="D1963">
        <v>23346.25</v>
      </c>
      <c r="E1963">
        <v>23366</v>
      </c>
      <c r="F1963" s="2">
        <f t="shared" si="91"/>
        <v>20.150000000001455</v>
      </c>
      <c r="G1963" s="3">
        <f t="shared" si="92"/>
        <v>25.766855375753259</v>
      </c>
      <c r="H1963" t="str">
        <f t="shared" si="90"/>
        <v>2026-09</v>
      </c>
      <c r="I1963">
        <v>3</v>
      </c>
    </row>
    <row r="1964" spans="1:9" x14ac:dyDescent="0.25">
      <c r="A1964" t="s">
        <v>1969</v>
      </c>
      <c r="B1964">
        <v>23365.95</v>
      </c>
      <c r="C1964">
        <v>23376.25</v>
      </c>
      <c r="D1964">
        <v>23353.65</v>
      </c>
      <c r="E1964">
        <v>23354.05</v>
      </c>
      <c r="F1964" s="2">
        <f t="shared" si="91"/>
        <v>22.599999999998545</v>
      </c>
      <c r="G1964" s="3">
        <f t="shared" si="92"/>
        <v>25.540651420342208</v>
      </c>
      <c r="H1964" t="str">
        <f t="shared" si="90"/>
        <v>2026-09</v>
      </c>
      <c r="I1964">
        <v>3</v>
      </c>
    </row>
    <row r="1965" spans="1:9" x14ac:dyDescent="0.25">
      <c r="A1965" t="s">
        <v>1970</v>
      </c>
      <c r="B1965">
        <v>23354.1</v>
      </c>
      <c r="C1965">
        <v>23389.15</v>
      </c>
      <c r="D1965">
        <v>23352.3</v>
      </c>
      <c r="E1965">
        <v>23384.3</v>
      </c>
      <c r="F1965" s="2">
        <f t="shared" si="91"/>
        <v>36.850000000002183</v>
      </c>
      <c r="G1965" s="3">
        <f t="shared" si="92"/>
        <v>26.348462033175061</v>
      </c>
      <c r="H1965" t="str">
        <f t="shared" si="90"/>
        <v>2026-09</v>
      </c>
      <c r="I1965">
        <v>3</v>
      </c>
    </row>
    <row r="1966" spans="1:9" x14ac:dyDescent="0.25">
      <c r="A1966" t="s">
        <v>1971</v>
      </c>
      <c r="B1966">
        <v>23384.15</v>
      </c>
      <c r="C1966">
        <v>23384.15</v>
      </c>
      <c r="D1966">
        <v>23332.400000000001</v>
      </c>
      <c r="E1966">
        <v>23341.75</v>
      </c>
      <c r="F1966" s="2">
        <f t="shared" si="91"/>
        <v>51.899999999997817</v>
      </c>
      <c r="G1966" s="3">
        <f t="shared" si="92"/>
        <v>28.173571887948118</v>
      </c>
      <c r="H1966" t="str">
        <f t="shared" si="90"/>
        <v>2026-09</v>
      </c>
      <c r="I1966">
        <v>3</v>
      </c>
    </row>
    <row r="1967" spans="1:9" x14ac:dyDescent="0.25">
      <c r="A1967" t="s">
        <v>1972</v>
      </c>
      <c r="B1967">
        <v>23331.55</v>
      </c>
      <c r="C1967">
        <v>23402.95</v>
      </c>
      <c r="D1967">
        <v>23314.799999999999</v>
      </c>
      <c r="E1967">
        <v>23400.25</v>
      </c>
      <c r="F1967" s="2">
        <f t="shared" si="91"/>
        <v>88.150000000001455</v>
      </c>
      <c r="G1967" s="3">
        <f t="shared" si="92"/>
        <v>32.457602467380504</v>
      </c>
      <c r="H1967" t="str">
        <f t="shared" si="90"/>
        <v>2026-09</v>
      </c>
      <c r="I1967">
        <v>3</v>
      </c>
    </row>
    <row r="1968" spans="1:9" x14ac:dyDescent="0.25">
      <c r="A1968" t="s">
        <v>1973</v>
      </c>
      <c r="B1968">
        <v>23399.8</v>
      </c>
      <c r="C1968">
        <v>23407.8</v>
      </c>
      <c r="D1968">
        <v>23385.8</v>
      </c>
      <c r="E1968">
        <v>23392.799999999999</v>
      </c>
      <c r="F1968" s="2">
        <f t="shared" si="91"/>
        <v>22</v>
      </c>
      <c r="G1968" s="3">
        <f t="shared" si="92"/>
        <v>31.710630862567609</v>
      </c>
      <c r="H1968" t="str">
        <f t="shared" si="90"/>
        <v>2026-09</v>
      </c>
      <c r="I1968">
        <v>3</v>
      </c>
    </row>
    <row r="1969" spans="1:9" x14ac:dyDescent="0.25">
      <c r="A1969" t="s">
        <v>1974</v>
      </c>
      <c r="B1969">
        <v>23393.200000000001</v>
      </c>
      <c r="C1969">
        <v>23410.75</v>
      </c>
      <c r="D1969">
        <v>23389.55</v>
      </c>
      <c r="E1969">
        <v>23394.85</v>
      </c>
      <c r="F1969" s="2">
        <f t="shared" si="91"/>
        <v>21.200000000000728</v>
      </c>
      <c r="G1969" s="3">
        <f t="shared" si="92"/>
        <v>30.959871515241399</v>
      </c>
      <c r="H1969" t="str">
        <f t="shared" si="90"/>
        <v>2026-09</v>
      </c>
      <c r="I1969">
        <v>3</v>
      </c>
    </row>
    <row r="1970" spans="1:9" x14ac:dyDescent="0.25">
      <c r="A1970" t="s">
        <v>1975</v>
      </c>
      <c r="B1970">
        <v>23395.200000000001</v>
      </c>
      <c r="C1970">
        <v>23398.9</v>
      </c>
      <c r="D1970">
        <v>23373</v>
      </c>
      <c r="E1970">
        <v>23373.55</v>
      </c>
      <c r="F1970" s="2">
        <f t="shared" si="91"/>
        <v>25.900000000001455</v>
      </c>
      <c r="G1970" s="3">
        <f t="shared" si="92"/>
        <v>30.598452121295686</v>
      </c>
      <c r="H1970" t="str">
        <f t="shared" si="90"/>
        <v>2026-09</v>
      </c>
      <c r="I1970">
        <v>3</v>
      </c>
    </row>
    <row r="1971" spans="1:9" x14ac:dyDescent="0.25">
      <c r="A1971" t="s">
        <v>1976</v>
      </c>
      <c r="B1971">
        <v>23373.65</v>
      </c>
      <c r="C1971">
        <v>23381.8</v>
      </c>
      <c r="D1971">
        <v>23358.75</v>
      </c>
      <c r="E1971">
        <v>23372.7</v>
      </c>
      <c r="F1971" s="2">
        <f t="shared" si="91"/>
        <v>23.049999999999272</v>
      </c>
      <c r="G1971" s="3">
        <f t="shared" si="92"/>
        <v>30.059276969774515</v>
      </c>
      <c r="H1971" t="str">
        <f t="shared" si="90"/>
        <v>2026-09</v>
      </c>
      <c r="I1971">
        <v>3</v>
      </c>
    </row>
    <row r="1972" spans="1:9" x14ac:dyDescent="0.25">
      <c r="A1972" t="s">
        <v>1977</v>
      </c>
      <c r="B1972">
        <v>23372.75</v>
      </c>
      <c r="C1972">
        <v>23378.35</v>
      </c>
      <c r="D1972">
        <v>23356.95</v>
      </c>
      <c r="E1972">
        <v>23376.5</v>
      </c>
      <c r="F1972" s="2">
        <f t="shared" si="91"/>
        <v>21.399999999997817</v>
      </c>
      <c r="G1972" s="3">
        <f t="shared" si="92"/>
        <v>29.440757186219034</v>
      </c>
      <c r="H1972" t="str">
        <f t="shared" si="90"/>
        <v>2026-09</v>
      </c>
      <c r="I1972">
        <v>3</v>
      </c>
    </row>
    <row r="1973" spans="1:9" x14ac:dyDescent="0.25">
      <c r="A1973" t="s">
        <v>1978</v>
      </c>
      <c r="B1973">
        <v>23376.6</v>
      </c>
      <c r="C1973">
        <v>23389.95</v>
      </c>
      <c r="D1973">
        <v>23374.65</v>
      </c>
      <c r="E1973">
        <v>23386.65</v>
      </c>
      <c r="F1973" s="2">
        <f t="shared" si="91"/>
        <v>15.299999999999272</v>
      </c>
      <c r="G1973" s="3">
        <f t="shared" si="92"/>
        <v>28.430703101489051</v>
      </c>
      <c r="H1973" t="str">
        <f t="shared" si="90"/>
        <v>2026-09</v>
      </c>
      <c r="I1973">
        <v>3</v>
      </c>
    </row>
    <row r="1974" spans="1:9" x14ac:dyDescent="0.25">
      <c r="A1974" t="s">
        <v>1979</v>
      </c>
      <c r="B1974">
        <v>23386.799999999999</v>
      </c>
      <c r="C1974">
        <v>23402.400000000001</v>
      </c>
      <c r="D1974">
        <v>23381.95</v>
      </c>
      <c r="E1974">
        <v>23397</v>
      </c>
      <c r="F1974" s="2">
        <f t="shared" si="91"/>
        <v>20.450000000000728</v>
      </c>
      <c r="G1974" s="3">
        <f t="shared" si="92"/>
        <v>27.86065287995417</v>
      </c>
      <c r="H1974" t="str">
        <f t="shared" si="90"/>
        <v>2026-09</v>
      </c>
      <c r="I1974">
        <v>3</v>
      </c>
    </row>
    <row r="1975" spans="1:9" x14ac:dyDescent="0.25">
      <c r="A1975" t="s">
        <v>1980</v>
      </c>
      <c r="B1975">
        <v>23397.45</v>
      </c>
      <c r="C1975">
        <v>23400.25</v>
      </c>
      <c r="D1975">
        <v>23385.8</v>
      </c>
      <c r="E1975">
        <v>23398.400000000001</v>
      </c>
      <c r="F1975" s="2">
        <f t="shared" si="91"/>
        <v>14.450000000000728</v>
      </c>
      <c r="G1975" s="3">
        <f t="shared" si="92"/>
        <v>26.902749102814635</v>
      </c>
      <c r="H1975" t="str">
        <f t="shared" si="90"/>
        <v>2026-09</v>
      </c>
      <c r="I1975">
        <v>3</v>
      </c>
    </row>
    <row r="1976" spans="1:9" x14ac:dyDescent="0.25">
      <c r="A1976" t="s">
        <v>1981</v>
      </c>
      <c r="B1976">
        <v>23398</v>
      </c>
      <c r="C1976">
        <v>23410.75</v>
      </c>
      <c r="D1976">
        <v>23396.400000000001</v>
      </c>
      <c r="E1976">
        <v>23403.65</v>
      </c>
      <c r="F1976" s="2">
        <f t="shared" si="91"/>
        <v>14.349999999998545</v>
      </c>
      <c r="G1976" s="3">
        <f t="shared" si="92"/>
        <v>26.006124166899202</v>
      </c>
      <c r="H1976" t="str">
        <f t="shared" si="90"/>
        <v>2026-09</v>
      </c>
      <c r="I1976">
        <v>3</v>
      </c>
    </row>
    <row r="1977" spans="1:9" x14ac:dyDescent="0.25">
      <c r="A1977" t="s">
        <v>1982</v>
      </c>
      <c r="B1977">
        <v>23402.5</v>
      </c>
      <c r="C1977">
        <v>23431.3</v>
      </c>
      <c r="D1977">
        <v>23394.5</v>
      </c>
      <c r="E1977">
        <v>23425.599999999999</v>
      </c>
      <c r="F1977" s="2">
        <f t="shared" si="91"/>
        <v>36.799999999999272</v>
      </c>
      <c r="G1977" s="3">
        <f t="shared" si="92"/>
        <v>26.777115297834921</v>
      </c>
      <c r="H1977" t="str">
        <f t="shared" si="90"/>
        <v>2026-09</v>
      </c>
      <c r="I1977">
        <v>3</v>
      </c>
    </row>
    <row r="1978" spans="1:9" x14ac:dyDescent="0.25">
      <c r="A1978" t="s">
        <v>1983</v>
      </c>
      <c r="B1978">
        <v>23425.45</v>
      </c>
      <c r="C1978">
        <v>23434.05</v>
      </c>
      <c r="D1978">
        <v>23411.15</v>
      </c>
      <c r="E1978">
        <v>23417.7</v>
      </c>
      <c r="F1978" s="2">
        <f t="shared" si="91"/>
        <v>22.899999999997817</v>
      </c>
      <c r="G1978" s="3">
        <f t="shared" si="92"/>
        <v>26.500178490846558</v>
      </c>
      <c r="H1978" t="str">
        <f t="shared" si="90"/>
        <v>2026-09</v>
      </c>
      <c r="I1978">
        <v>3</v>
      </c>
    </row>
    <row r="1979" spans="1:9" x14ac:dyDescent="0.25">
      <c r="A1979" t="s">
        <v>1984</v>
      </c>
      <c r="B1979">
        <v>23417.55</v>
      </c>
      <c r="C1979">
        <v>23422.1</v>
      </c>
      <c r="D1979">
        <v>23409.65</v>
      </c>
      <c r="E1979">
        <v>23419.45</v>
      </c>
      <c r="F1979" s="2">
        <f t="shared" si="91"/>
        <v>12.44999999999709</v>
      </c>
      <c r="G1979" s="3">
        <f t="shared" si="92"/>
        <v>25.496594312928739</v>
      </c>
      <c r="H1979" t="str">
        <f t="shared" si="90"/>
        <v>2026-09</v>
      </c>
      <c r="I1979">
        <v>3</v>
      </c>
    </row>
    <row r="1980" spans="1:9" x14ac:dyDescent="0.25">
      <c r="A1980" t="s">
        <v>1985</v>
      </c>
      <c r="B1980">
        <v>23419.75</v>
      </c>
      <c r="C1980">
        <v>23424.25</v>
      </c>
      <c r="D1980">
        <v>23407.95</v>
      </c>
      <c r="E1980">
        <v>23414.5</v>
      </c>
      <c r="F1980" s="2">
        <f t="shared" si="91"/>
        <v>16.299999999999272</v>
      </c>
      <c r="G1980" s="3">
        <f t="shared" si="92"/>
        <v>24.839694719148063</v>
      </c>
      <c r="H1980" t="str">
        <f t="shared" si="90"/>
        <v>2026-09</v>
      </c>
      <c r="I1980">
        <v>3</v>
      </c>
    </row>
    <row r="1981" spans="1:9" x14ac:dyDescent="0.25">
      <c r="A1981" t="s">
        <v>1986</v>
      </c>
      <c r="B1981">
        <v>23414.45</v>
      </c>
      <c r="C1981">
        <v>23418</v>
      </c>
      <c r="D1981">
        <v>23410.5</v>
      </c>
      <c r="E1981">
        <v>23412.7</v>
      </c>
      <c r="F1981" s="2">
        <f t="shared" si="91"/>
        <v>7.5</v>
      </c>
      <c r="G1981" s="3">
        <f t="shared" si="92"/>
        <v>23.601145096351775</v>
      </c>
      <c r="H1981" t="str">
        <f t="shared" si="90"/>
        <v>2026-09</v>
      </c>
      <c r="I1981">
        <v>3</v>
      </c>
    </row>
    <row r="1982" spans="1:9" x14ac:dyDescent="0.25">
      <c r="A1982" t="s">
        <v>1987</v>
      </c>
      <c r="B1982">
        <v>23412.65</v>
      </c>
      <c r="C1982">
        <v>23415.45</v>
      </c>
      <c r="D1982">
        <v>23397.65</v>
      </c>
      <c r="E1982">
        <v>23410.5</v>
      </c>
      <c r="F1982" s="2">
        <f t="shared" si="91"/>
        <v>17.799999999999272</v>
      </c>
      <c r="G1982" s="3">
        <f t="shared" si="92"/>
        <v>23.186777589469454</v>
      </c>
      <c r="H1982" t="str">
        <f t="shared" si="90"/>
        <v>2026-09</v>
      </c>
      <c r="I1982">
        <v>3</v>
      </c>
    </row>
    <row r="1983" spans="1:9" x14ac:dyDescent="0.25">
      <c r="A1983" t="s">
        <v>1988</v>
      </c>
      <c r="B1983">
        <v>23409.200000000001</v>
      </c>
      <c r="C1983">
        <v>23432.25</v>
      </c>
      <c r="D1983">
        <v>23409.05</v>
      </c>
      <c r="E1983">
        <v>23430.7</v>
      </c>
      <c r="F1983" s="2">
        <f t="shared" si="91"/>
        <v>23.200000000000728</v>
      </c>
      <c r="G1983" s="3">
        <f t="shared" si="92"/>
        <v>23.187722047364542</v>
      </c>
      <c r="H1983" t="str">
        <f t="shared" si="90"/>
        <v>2026-09</v>
      </c>
      <c r="I1983">
        <v>3</v>
      </c>
    </row>
    <row r="1984" spans="1:9" x14ac:dyDescent="0.25">
      <c r="A1984" t="s">
        <v>1989</v>
      </c>
      <c r="B1984">
        <v>23430.75</v>
      </c>
      <c r="C1984">
        <v>23437.7</v>
      </c>
      <c r="D1984">
        <v>23423.35</v>
      </c>
      <c r="E1984">
        <v>23427.75</v>
      </c>
      <c r="F1984" s="2">
        <f t="shared" si="91"/>
        <v>14.350000000002183</v>
      </c>
      <c r="G1984" s="3">
        <f t="shared" si="92"/>
        <v>22.556456186838659</v>
      </c>
      <c r="H1984" t="str">
        <f t="shared" si="90"/>
        <v>2026-09</v>
      </c>
      <c r="I1984">
        <v>3</v>
      </c>
    </row>
    <row r="1985" spans="1:9" x14ac:dyDescent="0.25">
      <c r="A1985" t="s">
        <v>1990</v>
      </c>
      <c r="B1985">
        <v>23427.9</v>
      </c>
      <c r="C1985">
        <v>23466.799999999999</v>
      </c>
      <c r="D1985">
        <v>23427.200000000001</v>
      </c>
      <c r="E1985">
        <v>23463.3</v>
      </c>
      <c r="F1985" s="2">
        <f t="shared" si="91"/>
        <v>39.599999999998545</v>
      </c>
      <c r="G1985" s="3">
        <f t="shared" si="92"/>
        <v>23.773852173492937</v>
      </c>
      <c r="H1985" t="str">
        <f t="shared" si="90"/>
        <v>2026-09</v>
      </c>
      <c r="I1985">
        <v>3</v>
      </c>
    </row>
    <row r="1986" spans="1:9" x14ac:dyDescent="0.25">
      <c r="A1986" t="s">
        <v>1991</v>
      </c>
      <c r="B1986">
        <v>23463</v>
      </c>
      <c r="C1986">
        <v>23466.6</v>
      </c>
      <c r="D1986">
        <v>23449.599999999999</v>
      </c>
      <c r="E1986">
        <v>23452.7</v>
      </c>
      <c r="F1986" s="2">
        <f t="shared" si="91"/>
        <v>17</v>
      </c>
      <c r="G1986" s="3">
        <f t="shared" si="92"/>
        <v>23.290005589672013</v>
      </c>
      <c r="H1986" t="str">
        <f t="shared" ref="H1986:H2038" si="93">LEFT(A1986,7)</f>
        <v>2026-09</v>
      </c>
      <c r="I1986">
        <v>3</v>
      </c>
    </row>
    <row r="1987" spans="1:9" x14ac:dyDescent="0.25">
      <c r="A1987" t="s">
        <v>1992</v>
      </c>
      <c r="B1987">
        <v>23452.65</v>
      </c>
      <c r="C1987">
        <v>23464.05</v>
      </c>
      <c r="D1987">
        <v>23445.3</v>
      </c>
      <c r="E1987">
        <v>23448.95</v>
      </c>
      <c r="F1987" s="2">
        <f t="shared" ref="F1987:F2038" si="94">MAX(C1987-D1987,ABS(C1987-E1986),ABS(D1987-E1986))</f>
        <v>18.75</v>
      </c>
      <c r="G1987" s="3">
        <f t="shared" si="92"/>
        <v>22.965719476124011</v>
      </c>
      <c r="H1987" t="str">
        <f t="shared" si="93"/>
        <v>2026-09</v>
      </c>
      <c r="I1987">
        <v>3</v>
      </c>
    </row>
    <row r="1988" spans="1:9" x14ac:dyDescent="0.25">
      <c r="A1988" t="s">
        <v>1993</v>
      </c>
      <c r="B1988">
        <v>23448.9</v>
      </c>
      <c r="C1988">
        <v>23453.05</v>
      </c>
      <c r="D1988">
        <v>23441.35</v>
      </c>
      <c r="E1988">
        <v>23450.35</v>
      </c>
      <c r="F1988" s="2">
        <f t="shared" si="94"/>
        <v>11.700000000000728</v>
      </c>
      <c r="G1988" s="3">
        <f t="shared" si="92"/>
        <v>22.161025227829491</v>
      </c>
      <c r="H1988" t="str">
        <f t="shared" si="93"/>
        <v>2026-09</v>
      </c>
      <c r="I1988">
        <v>3</v>
      </c>
    </row>
    <row r="1989" spans="1:9" x14ac:dyDescent="0.25">
      <c r="A1989" t="s">
        <v>1994</v>
      </c>
      <c r="B1989">
        <v>23450.3</v>
      </c>
      <c r="C1989">
        <v>23456.3</v>
      </c>
      <c r="D1989">
        <v>23444.15</v>
      </c>
      <c r="E1989">
        <v>23447.5</v>
      </c>
      <c r="F1989" s="2">
        <f t="shared" si="94"/>
        <v>12.149999999997817</v>
      </c>
      <c r="G1989" s="3">
        <f t="shared" si="92"/>
        <v>21.445951997270083</v>
      </c>
      <c r="H1989" t="str">
        <f t="shared" si="93"/>
        <v>2026-09</v>
      </c>
      <c r="I1989">
        <v>3</v>
      </c>
    </row>
    <row r="1990" spans="1:9" x14ac:dyDescent="0.25">
      <c r="A1990" t="s">
        <v>1995</v>
      </c>
      <c r="B1990">
        <v>23447.25</v>
      </c>
      <c r="C1990">
        <v>23450</v>
      </c>
      <c r="D1990">
        <v>23423.599999999999</v>
      </c>
      <c r="E1990">
        <v>23428.9</v>
      </c>
      <c r="F1990" s="2">
        <f t="shared" si="94"/>
        <v>26.400000000001455</v>
      </c>
      <c r="G1990" s="3">
        <f t="shared" si="92"/>
        <v>21.799812568893749</v>
      </c>
      <c r="H1990" t="str">
        <f t="shared" si="93"/>
        <v>2026-09</v>
      </c>
      <c r="I1990">
        <v>3</v>
      </c>
    </row>
    <row r="1991" spans="1:9" x14ac:dyDescent="0.25">
      <c r="A1991" t="s">
        <v>1996</v>
      </c>
      <c r="B1991">
        <v>23457.15</v>
      </c>
      <c r="C1991">
        <v>23489</v>
      </c>
      <c r="D1991">
        <v>23425.7</v>
      </c>
      <c r="E1991">
        <v>23445.9</v>
      </c>
      <c r="F1991" s="2">
        <f t="shared" si="94"/>
        <v>63.299999999999272</v>
      </c>
      <c r="G1991" s="3">
        <f t="shared" si="92"/>
        <v>24.764111671115575</v>
      </c>
      <c r="H1991" t="str">
        <f t="shared" si="93"/>
        <v>2026-09</v>
      </c>
      <c r="I1991">
        <v>3</v>
      </c>
    </row>
    <row r="1992" spans="1:9" x14ac:dyDescent="0.25">
      <c r="A1992" t="s">
        <v>1997</v>
      </c>
      <c r="B1992">
        <v>23445.95</v>
      </c>
      <c r="C1992">
        <v>23459.55</v>
      </c>
      <c r="D1992">
        <v>23433.200000000001</v>
      </c>
      <c r="E1992">
        <v>23455.95</v>
      </c>
      <c r="F1992" s="2">
        <f t="shared" si="94"/>
        <v>26.349999999998545</v>
      </c>
      <c r="G1992" s="3">
        <f t="shared" si="92"/>
        <v>24.877389408892931</v>
      </c>
      <c r="H1992" t="str">
        <f t="shared" si="93"/>
        <v>2026-09</v>
      </c>
      <c r="I1992">
        <v>3</v>
      </c>
    </row>
    <row r="1993" spans="1:9" x14ac:dyDescent="0.25">
      <c r="A1993" t="s">
        <v>1998</v>
      </c>
      <c r="B1993">
        <v>23456</v>
      </c>
      <c r="C1993">
        <v>23464.55</v>
      </c>
      <c r="D1993">
        <v>23449.55</v>
      </c>
      <c r="E1993">
        <v>23456.799999999999</v>
      </c>
      <c r="F1993" s="2">
        <f t="shared" si="94"/>
        <v>15</v>
      </c>
      <c r="G1993" s="3">
        <f t="shared" si="92"/>
        <v>24.171861593972007</v>
      </c>
      <c r="H1993" t="str">
        <f t="shared" si="93"/>
        <v>2026-09</v>
      </c>
      <c r="I1993">
        <v>3</v>
      </c>
    </row>
    <row r="1994" spans="1:9" x14ac:dyDescent="0.25">
      <c r="A1994" t="s">
        <v>1999</v>
      </c>
      <c r="B1994">
        <v>23457.200000000001</v>
      </c>
      <c r="C1994">
        <v>23470.6</v>
      </c>
      <c r="D1994">
        <v>23453</v>
      </c>
      <c r="E1994">
        <v>23465.3</v>
      </c>
      <c r="F1994" s="2">
        <f t="shared" si="94"/>
        <v>17.599999999998545</v>
      </c>
      <c r="G1994" s="3">
        <f t="shared" si="92"/>
        <v>23.702442908688191</v>
      </c>
      <c r="H1994" t="str">
        <f t="shared" si="93"/>
        <v>2026-09</v>
      </c>
      <c r="I1994">
        <v>3</v>
      </c>
    </row>
    <row r="1995" spans="1:9" x14ac:dyDescent="0.25">
      <c r="A1995" t="s">
        <v>2000</v>
      </c>
      <c r="B1995">
        <v>23465.200000000001</v>
      </c>
      <c r="C1995">
        <v>23465.95</v>
      </c>
      <c r="D1995">
        <v>23431.35</v>
      </c>
      <c r="E1995">
        <v>23437.3</v>
      </c>
      <c r="F1995" s="2">
        <f t="shared" si="94"/>
        <v>34.600000000002183</v>
      </c>
      <c r="G1995" s="3">
        <f t="shared" si="92"/>
        <v>24.480839843782046</v>
      </c>
      <c r="H1995" t="str">
        <f t="shared" si="93"/>
        <v>2026-09</v>
      </c>
      <c r="I1995">
        <v>3</v>
      </c>
    </row>
    <row r="1996" spans="1:9" x14ac:dyDescent="0.25">
      <c r="A1996" t="s">
        <v>2001</v>
      </c>
      <c r="B1996">
        <v>23437.35</v>
      </c>
      <c r="C1996">
        <v>23439.75</v>
      </c>
      <c r="D1996">
        <v>23368.2</v>
      </c>
      <c r="E1996">
        <v>23383.3</v>
      </c>
      <c r="F1996" s="2">
        <f t="shared" si="94"/>
        <v>71.549999999999272</v>
      </c>
      <c r="G1996" s="3">
        <f t="shared" si="92"/>
        <v>27.842922712083276</v>
      </c>
      <c r="H1996" t="str">
        <f t="shared" si="93"/>
        <v>2026-09</v>
      </c>
      <c r="I1996">
        <v>3</v>
      </c>
    </row>
    <row r="1997" spans="1:9" x14ac:dyDescent="0.25">
      <c r="A1997" t="s">
        <v>2002</v>
      </c>
      <c r="B1997">
        <v>23382.7</v>
      </c>
      <c r="C1997">
        <v>23390.75</v>
      </c>
      <c r="D1997">
        <v>23363</v>
      </c>
      <c r="E1997">
        <v>23388.65</v>
      </c>
      <c r="F1997" s="2">
        <f t="shared" si="94"/>
        <v>27.75</v>
      </c>
      <c r="G1997" s="3">
        <f t="shared" si="92"/>
        <v>27.836285375505899</v>
      </c>
      <c r="H1997" t="str">
        <f t="shared" si="93"/>
        <v>2026-09</v>
      </c>
      <c r="I1997">
        <v>3</v>
      </c>
    </row>
    <row r="1998" spans="1:9" x14ac:dyDescent="0.25">
      <c r="A1998" t="s">
        <v>2003</v>
      </c>
      <c r="B1998">
        <v>23388.55</v>
      </c>
      <c r="C1998">
        <v>23395.1</v>
      </c>
      <c r="D1998">
        <v>23368.75</v>
      </c>
      <c r="E1998">
        <v>23393.45</v>
      </c>
      <c r="F1998" s="2">
        <f t="shared" si="94"/>
        <v>26.349999999998545</v>
      </c>
      <c r="G1998" s="3">
        <f t="shared" si="92"/>
        <v>27.730122134398233</v>
      </c>
      <c r="H1998" t="str">
        <f t="shared" si="93"/>
        <v>2026-09</v>
      </c>
      <c r="I1998">
        <v>3</v>
      </c>
    </row>
    <row r="1999" spans="1:9" x14ac:dyDescent="0.25">
      <c r="A1999" t="s">
        <v>2004</v>
      </c>
      <c r="B1999">
        <v>23393.3</v>
      </c>
      <c r="C1999">
        <v>23404</v>
      </c>
      <c r="D1999">
        <v>23384.35</v>
      </c>
      <c r="E1999">
        <v>23392.25</v>
      </c>
      <c r="F1999" s="2">
        <f t="shared" si="94"/>
        <v>19.650000000001455</v>
      </c>
      <c r="G1999" s="3">
        <f t="shared" si="92"/>
        <v>27.152970553369894</v>
      </c>
      <c r="H1999" t="str">
        <f t="shared" si="93"/>
        <v>2026-09</v>
      </c>
      <c r="I1999">
        <v>3</v>
      </c>
    </row>
    <row r="2000" spans="1:9" x14ac:dyDescent="0.25">
      <c r="A2000" t="s">
        <v>2005</v>
      </c>
      <c r="B2000">
        <v>23392.15</v>
      </c>
      <c r="C2000">
        <v>23393.65</v>
      </c>
      <c r="D2000">
        <v>23365.85</v>
      </c>
      <c r="E2000">
        <v>23371.4</v>
      </c>
      <c r="F2000" s="2">
        <f t="shared" si="94"/>
        <v>27.80000000000291</v>
      </c>
      <c r="G2000" s="3">
        <f t="shared" ref="G2000:G2063" si="95">(G1999*13+F2000)/14</f>
        <v>27.19918694241511</v>
      </c>
      <c r="H2000" t="str">
        <f t="shared" si="93"/>
        <v>2026-09</v>
      </c>
      <c r="I2000">
        <v>3</v>
      </c>
    </row>
    <row r="2001" spans="1:9" x14ac:dyDescent="0.25">
      <c r="A2001" t="s">
        <v>2006</v>
      </c>
      <c r="B2001">
        <v>23371.8</v>
      </c>
      <c r="C2001">
        <v>23373.05</v>
      </c>
      <c r="D2001">
        <v>23341.5</v>
      </c>
      <c r="E2001">
        <v>23360.85</v>
      </c>
      <c r="F2001" s="2">
        <f t="shared" si="94"/>
        <v>31.549999999999272</v>
      </c>
      <c r="G2001" s="3">
        <f t="shared" si="95"/>
        <v>27.509959303671121</v>
      </c>
      <c r="H2001" t="str">
        <f t="shared" si="93"/>
        <v>2026-09</v>
      </c>
      <c r="I2001">
        <v>3</v>
      </c>
    </row>
    <row r="2002" spans="1:9" x14ac:dyDescent="0.25">
      <c r="A2002" t="s">
        <v>2007</v>
      </c>
      <c r="B2002">
        <v>23361.05</v>
      </c>
      <c r="C2002">
        <v>23367.25</v>
      </c>
      <c r="D2002">
        <v>23353.55</v>
      </c>
      <c r="E2002">
        <v>23356.85</v>
      </c>
      <c r="F2002" s="2">
        <f t="shared" si="94"/>
        <v>13.700000000000728</v>
      </c>
      <c r="G2002" s="3">
        <f t="shared" si="95"/>
        <v>26.523533639123233</v>
      </c>
      <c r="H2002" t="str">
        <f t="shared" si="93"/>
        <v>2026-09</v>
      </c>
      <c r="I2002">
        <v>3</v>
      </c>
    </row>
    <row r="2003" spans="1:9" x14ac:dyDescent="0.25">
      <c r="A2003" t="s">
        <v>2008</v>
      </c>
      <c r="B2003">
        <v>23356.9</v>
      </c>
      <c r="C2003">
        <v>23368.1</v>
      </c>
      <c r="D2003">
        <v>23350</v>
      </c>
      <c r="E2003">
        <v>23358.1</v>
      </c>
      <c r="F2003" s="2">
        <f t="shared" si="94"/>
        <v>18.099999999998545</v>
      </c>
      <c r="G2003" s="3">
        <f t="shared" si="95"/>
        <v>25.92185266490004</v>
      </c>
      <c r="H2003" t="str">
        <f t="shared" si="93"/>
        <v>2026-09</v>
      </c>
      <c r="I2003">
        <v>3</v>
      </c>
    </row>
    <row r="2004" spans="1:9" x14ac:dyDescent="0.25">
      <c r="A2004" t="s">
        <v>2009</v>
      </c>
      <c r="B2004">
        <v>23358.2</v>
      </c>
      <c r="C2004">
        <v>23365.4</v>
      </c>
      <c r="D2004">
        <v>23344.45</v>
      </c>
      <c r="E2004">
        <v>23345.85</v>
      </c>
      <c r="F2004" s="2">
        <f t="shared" si="94"/>
        <v>20.950000000000728</v>
      </c>
      <c r="G2004" s="3">
        <f t="shared" si="95"/>
        <v>25.566720331692945</v>
      </c>
      <c r="H2004" t="str">
        <f t="shared" si="93"/>
        <v>2026-09</v>
      </c>
      <c r="I2004">
        <v>3</v>
      </c>
    </row>
    <row r="2005" spans="1:9" x14ac:dyDescent="0.25">
      <c r="A2005" t="s">
        <v>2010</v>
      </c>
      <c r="B2005">
        <v>23345.95</v>
      </c>
      <c r="C2005">
        <v>23353.65</v>
      </c>
      <c r="D2005">
        <v>23324.55</v>
      </c>
      <c r="E2005">
        <v>23332.25</v>
      </c>
      <c r="F2005" s="2">
        <f t="shared" si="94"/>
        <v>29.100000000002183</v>
      </c>
      <c r="G2005" s="3">
        <f t="shared" si="95"/>
        <v>25.819097450857893</v>
      </c>
      <c r="H2005" t="str">
        <f t="shared" si="93"/>
        <v>2026-09</v>
      </c>
      <c r="I2005">
        <v>3</v>
      </c>
    </row>
    <row r="2006" spans="1:9" x14ac:dyDescent="0.25">
      <c r="A2006" t="s">
        <v>2011</v>
      </c>
      <c r="B2006">
        <v>23332.1</v>
      </c>
      <c r="C2006">
        <v>23343</v>
      </c>
      <c r="D2006">
        <v>23319.1</v>
      </c>
      <c r="E2006">
        <v>23339.55</v>
      </c>
      <c r="F2006" s="2">
        <f t="shared" si="94"/>
        <v>23.900000000001455</v>
      </c>
      <c r="G2006" s="3">
        <f t="shared" si="95"/>
        <v>25.682019061511003</v>
      </c>
      <c r="H2006" t="str">
        <f t="shared" si="93"/>
        <v>2026-09</v>
      </c>
      <c r="I2006">
        <v>3</v>
      </c>
    </row>
    <row r="2007" spans="1:9" x14ac:dyDescent="0.25">
      <c r="A2007" t="s">
        <v>2012</v>
      </c>
      <c r="B2007">
        <v>23339.15</v>
      </c>
      <c r="C2007">
        <v>23344.05</v>
      </c>
      <c r="D2007">
        <v>23325.7</v>
      </c>
      <c r="E2007">
        <v>23340</v>
      </c>
      <c r="F2007" s="2">
        <f t="shared" si="94"/>
        <v>18.349999999998545</v>
      </c>
      <c r="G2007" s="3">
        <f t="shared" si="95"/>
        <v>25.158303414260111</v>
      </c>
      <c r="H2007" t="str">
        <f t="shared" si="93"/>
        <v>2026-09</v>
      </c>
      <c r="I2007">
        <v>3</v>
      </c>
    </row>
    <row r="2008" spans="1:9" x14ac:dyDescent="0.25">
      <c r="A2008" t="s">
        <v>2013</v>
      </c>
      <c r="B2008">
        <v>23339.85</v>
      </c>
      <c r="C2008">
        <v>23355.35</v>
      </c>
      <c r="D2008">
        <v>23338.35</v>
      </c>
      <c r="E2008">
        <v>23339.3</v>
      </c>
      <c r="F2008" s="2">
        <f t="shared" si="94"/>
        <v>17</v>
      </c>
      <c r="G2008" s="3">
        <f t="shared" si="95"/>
        <v>24.575567456098675</v>
      </c>
      <c r="H2008" t="str">
        <f t="shared" si="93"/>
        <v>2026-09</v>
      </c>
      <c r="I2008">
        <v>3</v>
      </c>
    </row>
    <row r="2009" spans="1:9" x14ac:dyDescent="0.25">
      <c r="A2009" t="s">
        <v>2014</v>
      </c>
      <c r="B2009">
        <v>23339.35</v>
      </c>
      <c r="C2009">
        <v>23339.35</v>
      </c>
      <c r="D2009">
        <v>23299.25</v>
      </c>
      <c r="E2009">
        <v>23305.3</v>
      </c>
      <c r="F2009" s="2">
        <f t="shared" si="94"/>
        <v>40.099999999998545</v>
      </c>
      <c r="G2009" s="3">
        <f t="shared" si="95"/>
        <v>25.684455494948669</v>
      </c>
      <c r="H2009" t="str">
        <f t="shared" si="93"/>
        <v>2026-09</v>
      </c>
      <c r="I2009">
        <v>3</v>
      </c>
    </row>
    <row r="2010" spans="1:9" x14ac:dyDescent="0.25">
      <c r="A2010" t="s">
        <v>2015</v>
      </c>
      <c r="B2010">
        <v>23305.200000000001</v>
      </c>
      <c r="C2010">
        <v>23383.9</v>
      </c>
      <c r="D2010">
        <v>23285.75</v>
      </c>
      <c r="E2010">
        <v>23383</v>
      </c>
      <c r="F2010" s="2">
        <f t="shared" si="94"/>
        <v>98.150000000001455</v>
      </c>
      <c r="G2010" s="3">
        <f t="shared" si="95"/>
        <v>30.860565816738156</v>
      </c>
      <c r="H2010" t="str">
        <f t="shared" si="93"/>
        <v>2026-09</v>
      </c>
      <c r="I2010">
        <v>3</v>
      </c>
    </row>
    <row r="2011" spans="1:9" x14ac:dyDescent="0.25">
      <c r="A2011" t="s">
        <v>2016</v>
      </c>
      <c r="B2011">
        <v>23382.6</v>
      </c>
      <c r="C2011">
        <v>23403.1</v>
      </c>
      <c r="D2011">
        <v>23359.599999999999</v>
      </c>
      <c r="E2011">
        <v>23389.75</v>
      </c>
      <c r="F2011" s="2">
        <f t="shared" si="94"/>
        <v>43.5</v>
      </c>
      <c r="G2011" s="3">
        <f t="shared" si="95"/>
        <v>31.763382544114002</v>
      </c>
      <c r="H2011" t="str">
        <f t="shared" si="93"/>
        <v>2026-09</v>
      </c>
      <c r="I2011">
        <v>3</v>
      </c>
    </row>
    <row r="2012" spans="1:9" x14ac:dyDescent="0.25">
      <c r="A2012" t="s">
        <v>2017</v>
      </c>
      <c r="B2012">
        <v>23389.8</v>
      </c>
      <c r="C2012">
        <v>23397.65</v>
      </c>
      <c r="D2012">
        <v>23359.9</v>
      </c>
      <c r="E2012">
        <v>23368.75</v>
      </c>
      <c r="F2012" s="2">
        <f t="shared" si="94"/>
        <v>37.75</v>
      </c>
      <c r="G2012" s="3">
        <f t="shared" si="95"/>
        <v>32.190998076677289</v>
      </c>
      <c r="H2012" t="str">
        <f t="shared" si="93"/>
        <v>2026-09</v>
      </c>
      <c r="I2012">
        <v>3</v>
      </c>
    </row>
    <row r="2013" spans="1:9" x14ac:dyDescent="0.25">
      <c r="A2013" t="s">
        <v>2018</v>
      </c>
      <c r="B2013">
        <v>23369</v>
      </c>
      <c r="C2013">
        <v>23383.5</v>
      </c>
      <c r="D2013">
        <v>23350.75</v>
      </c>
      <c r="E2013">
        <v>23357.9</v>
      </c>
      <c r="F2013" s="2">
        <f t="shared" si="94"/>
        <v>32.75</v>
      </c>
      <c r="G2013" s="3">
        <f t="shared" si="95"/>
        <v>32.230926785486055</v>
      </c>
      <c r="H2013" t="str">
        <f t="shared" si="93"/>
        <v>2026-09</v>
      </c>
      <c r="I2013">
        <v>3</v>
      </c>
    </row>
    <row r="2014" spans="1:9" x14ac:dyDescent="0.25">
      <c r="A2014" t="s">
        <v>2019</v>
      </c>
      <c r="B2014">
        <v>23357.7</v>
      </c>
      <c r="C2014">
        <v>23365.3</v>
      </c>
      <c r="D2014">
        <v>23346.7</v>
      </c>
      <c r="E2014">
        <v>23348.1</v>
      </c>
      <c r="F2014" s="2">
        <f t="shared" si="94"/>
        <v>18.599999999998545</v>
      </c>
      <c r="G2014" s="3">
        <f t="shared" si="95"/>
        <v>31.257289157951231</v>
      </c>
      <c r="H2014" t="str">
        <f t="shared" si="93"/>
        <v>2026-09</v>
      </c>
      <c r="I2014">
        <v>3</v>
      </c>
    </row>
    <row r="2015" spans="1:9" x14ac:dyDescent="0.25">
      <c r="A2015" t="s">
        <v>2020</v>
      </c>
      <c r="B2015">
        <v>23358.65</v>
      </c>
      <c r="C2015">
        <v>23414.55</v>
      </c>
      <c r="D2015">
        <v>23351.75</v>
      </c>
      <c r="E2015">
        <v>23367.75</v>
      </c>
      <c r="F2015" s="2">
        <f t="shared" si="94"/>
        <v>66.450000000000728</v>
      </c>
      <c r="G2015" s="3">
        <f t="shared" si="95"/>
        <v>33.771054218097625</v>
      </c>
      <c r="H2015" t="str">
        <f t="shared" si="93"/>
        <v>2026-09</v>
      </c>
      <c r="I2015">
        <v>3</v>
      </c>
    </row>
    <row r="2016" spans="1:9" x14ac:dyDescent="0.25">
      <c r="A2016" t="s">
        <v>2021</v>
      </c>
      <c r="B2016">
        <v>23367.85</v>
      </c>
      <c r="C2016">
        <v>23381.35</v>
      </c>
      <c r="D2016">
        <v>23362.7</v>
      </c>
      <c r="E2016">
        <v>23378.65</v>
      </c>
      <c r="F2016" s="2">
        <f t="shared" si="94"/>
        <v>18.649999999997817</v>
      </c>
      <c r="G2016" s="3">
        <f t="shared" si="95"/>
        <v>32.690978916804781</v>
      </c>
      <c r="H2016" t="str">
        <f t="shared" si="93"/>
        <v>2026-09</v>
      </c>
      <c r="I2016">
        <v>3</v>
      </c>
    </row>
    <row r="2017" spans="1:9" x14ac:dyDescent="0.25">
      <c r="A2017" t="s">
        <v>2022</v>
      </c>
      <c r="B2017">
        <v>23378</v>
      </c>
      <c r="C2017">
        <v>23388.799999999999</v>
      </c>
      <c r="D2017">
        <v>23349.55</v>
      </c>
      <c r="E2017">
        <v>23377.05</v>
      </c>
      <c r="F2017" s="2">
        <f t="shared" si="94"/>
        <v>39.25</v>
      </c>
      <c r="G2017" s="3">
        <f t="shared" si="95"/>
        <v>33.159480422747301</v>
      </c>
      <c r="H2017" t="str">
        <f t="shared" si="93"/>
        <v>2026-09</v>
      </c>
      <c r="I2017">
        <v>3</v>
      </c>
    </row>
    <row r="2018" spans="1:9" x14ac:dyDescent="0.25">
      <c r="A2018" t="s">
        <v>2023</v>
      </c>
      <c r="B2018">
        <v>23377.85</v>
      </c>
      <c r="C2018">
        <v>23384</v>
      </c>
      <c r="D2018">
        <v>23355.599999999999</v>
      </c>
      <c r="E2018">
        <v>23365</v>
      </c>
      <c r="F2018" s="2">
        <f t="shared" si="94"/>
        <v>28.400000000001455</v>
      </c>
      <c r="G2018" s="3">
        <f t="shared" si="95"/>
        <v>32.819517535408309</v>
      </c>
      <c r="H2018" t="str">
        <f t="shared" si="93"/>
        <v>2026-09</v>
      </c>
      <c r="I2018">
        <v>3</v>
      </c>
    </row>
    <row r="2019" spans="1:9" x14ac:dyDescent="0.25">
      <c r="A2019" t="s">
        <v>2024</v>
      </c>
      <c r="B2019">
        <v>23364.85</v>
      </c>
      <c r="C2019">
        <v>23401.15</v>
      </c>
      <c r="D2019">
        <v>23364.85</v>
      </c>
      <c r="E2019">
        <v>23398.35</v>
      </c>
      <c r="F2019" s="2">
        <f t="shared" si="94"/>
        <v>36.30000000000291</v>
      </c>
      <c r="G2019" s="3">
        <f t="shared" si="95"/>
        <v>33.068123425736495</v>
      </c>
      <c r="H2019" t="str">
        <f t="shared" si="93"/>
        <v>2026-09</v>
      </c>
      <c r="I2019">
        <v>3</v>
      </c>
    </row>
    <row r="2020" spans="1:9" x14ac:dyDescent="0.25">
      <c r="A2020" t="s">
        <v>2025</v>
      </c>
      <c r="B2020">
        <v>23398.400000000001</v>
      </c>
      <c r="C2020">
        <v>23413.7</v>
      </c>
      <c r="D2020">
        <v>23395.85</v>
      </c>
      <c r="E2020">
        <v>23412.400000000001</v>
      </c>
      <c r="F2020" s="2">
        <f t="shared" si="94"/>
        <v>17.850000000002183</v>
      </c>
      <c r="G2020" s="3">
        <f t="shared" si="95"/>
        <v>31.981114609612614</v>
      </c>
      <c r="H2020" t="str">
        <f t="shared" si="93"/>
        <v>2026-09</v>
      </c>
      <c r="I2020">
        <v>3</v>
      </c>
    </row>
    <row r="2021" spans="1:9" x14ac:dyDescent="0.25">
      <c r="A2021" t="s">
        <v>2026</v>
      </c>
      <c r="B2021">
        <v>23412.799999999999</v>
      </c>
      <c r="C2021">
        <v>23424</v>
      </c>
      <c r="D2021">
        <v>23411.1</v>
      </c>
      <c r="E2021">
        <v>23415.5</v>
      </c>
      <c r="F2021" s="2">
        <f t="shared" si="94"/>
        <v>12.900000000001455</v>
      </c>
      <c r="G2021" s="3">
        <f t="shared" si="95"/>
        <v>30.618177851783248</v>
      </c>
      <c r="H2021" t="str">
        <f t="shared" si="93"/>
        <v>2026-09</v>
      </c>
      <c r="I2021">
        <v>3</v>
      </c>
    </row>
    <row r="2022" spans="1:9" x14ac:dyDescent="0.25">
      <c r="A2022" t="s">
        <v>2027</v>
      </c>
      <c r="B2022">
        <v>23416.35</v>
      </c>
      <c r="C2022">
        <v>23441.25</v>
      </c>
      <c r="D2022">
        <v>23413.65</v>
      </c>
      <c r="E2022">
        <v>23436.1</v>
      </c>
      <c r="F2022" s="2">
        <f t="shared" si="94"/>
        <v>27.599999999998545</v>
      </c>
      <c r="G2022" s="3">
        <f t="shared" si="95"/>
        <v>30.402593719512911</v>
      </c>
      <c r="H2022" t="str">
        <f t="shared" si="93"/>
        <v>2026-09</v>
      </c>
      <c r="I2022">
        <v>3</v>
      </c>
    </row>
    <row r="2023" spans="1:9" x14ac:dyDescent="0.25">
      <c r="A2023" t="s">
        <v>2028</v>
      </c>
      <c r="B2023">
        <v>23435.95</v>
      </c>
      <c r="C2023">
        <v>23437.4</v>
      </c>
      <c r="D2023">
        <v>23420.1</v>
      </c>
      <c r="E2023">
        <v>23427.8</v>
      </c>
      <c r="F2023" s="2">
        <f t="shared" si="94"/>
        <v>17.30000000000291</v>
      </c>
      <c r="G2023" s="3">
        <f t="shared" si="95"/>
        <v>29.466694168119339</v>
      </c>
      <c r="H2023" t="str">
        <f t="shared" si="93"/>
        <v>2026-09</v>
      </c>
      <c r="I2023">
        <v>3</v>
      </c>
    </row>
    <row r="2024" spans="1:9" x14ac:dyDescent="0.25">
      <c r="A2024" t="s">
        <v>2029</v>
      </c>
      <c r="B2024">
        <v>23429</v>
      </c>
      <c r="C2024">
        <v>23445.9</v>
      </c>
      <c r="D2024">
        <v>23427.05</v>
      </c>
      <c r="E2024">
        <v>23438.799999999999</v>
      </c>
      <c r="F2024" s="2">
        <f t="shared" si="94"/>
        <v>18.850000000002183</v>
      </c>
      <c r="G2024" s="3">
        <f t="shared" si="95"/>
        <v>28.708358870396687</v>
      </c>
      <c r="H2024" t="str">
        <f t="shared" si="93"/>
        <v>2026-09</v>
      </c>
      <c r="I2024">
        <v>3</v>
      </c>
    </row>
    <row r="2025" spans="1:9" x14ac:dyDescent="0.25">
      <c r="A2025" t="s">
        <v>2030</v>
      </c>
      <c r="B2025">
        <v>23438.55</v>
      </c>
      <c r="C2025">
        <v>23444.400000000001</v>
      </c>
      <c r="D2025">
        <v>23424.3</v>
      </c>
      <c r="E2025">
        <v>23429.55</v>
      </c>
      <c r="F2025" s="2">
        <f t="shared" si="94"/>
        <v>20.100000000002183</v>
      </c>
      <c r="G2025" s="3">
        <f t="shared" si="95"/>
        <v>28.093476093939934</v>
      </c>
      <c r="H2025" t="str">
        <f t="shared" si="93"/>
        <v>2026-09</v>
      </c>
      <c r="I2025">
        <v>3</v>
      </c>
    </row>
    <row r="2026" spans="1:9" x14ac:dyDescent="0.25">
      <c r="A2026" t="s">
        <v>2031</v>
      </c>
      <c r="B2026">
        <v>23428.95</v>
      </c>
      <c r="C2026">
        <v>23462.9</v>
      </c>
      <c r="D2026">
        <v>23428.95</v>
      </c>
      <c r="E2026">
        <v>23458.05</v>
      </c>
      <c r="F2026" s="2">
        <f t="shared" si="94"/>
        <v>33.950000000000728</v>
      </c>
      <c r="G2026" s="3">
        <f t="shared" si="95"/>
        <v>28.511799230087131</v>
      </c>
      <c r="H2026" t="str">
        <f t="shared" si="93"/>
        <v>2026-09</v>
      </c>
      <c r="I2026">
        <v>3</v>
      </c>
    </row>
    <row r="2027" spans="1:9" x14ac:dyDescent="0.25">
      <c r="A2027" t="s">
        <v>2032</v>
      </c>
      <c r="B2027">
        <v>23458.1</v>
      </c>
      <c r="C2027">
        <v>23466.9</v>
      </c>
      <c r="D2027">
        <v>23447.05</v>
      </c>
      <c r="E2027">
        <v>23449.4</v>
      </c>
      <c r="F2027" s="2">
        <f t="shared" si="94"/>
        <v>19.850000000002183</v>
      </c>
      <c r="G2027" s="3">
        <f t="shared" si="95"/>
        <v>27.893099285081064</v>
      </c>
      <c r="H2027" t="str">
        <f t="shared" si="93"/>
        <v>2026-09</v>
      </c>
      <c r="I2027">
        <v>3</v>
      </c>
    </row>
    <row r="2028" spans="1:9" x14ac:dyDescent="0.25">
      <c r="A2028" t="s">
        <v>2033</v>
      </c>
      <c r="B2028">
        <v>23449.5</v>
      </c>
      <c r="C2028">
        <v>23456.05</v>
      </c>
      <c r="D2028">
        <v>23443.7</v>
      </c>
      <c r="E2028">
        <v>23448.799999999999</v>
      </c>
      <c r="F2028" s="2">
        <f t="shared" si="94"/>
        <v>12.349999999998545</v>
      </c>
      <c r="G2028" s="3">
        <f t="shared" si="95"/>
        <v>26.78287790757517</v>
      </c>
      <c r="H2028" t="str">
        <f t="shared" si="93"/>
        <v>2026-09</v>
      </c>
      <c r="I2028">
        <v>3</v>
      </c>
    </row>
    <row r="2029" spans="1:9" x14ac:dyDescent="0.25">
      <c r="A2029" t="s">
        <v>2034</v>
      </c>
      <c r="B2029">
        <v>23448.85</v>
      </c>
      <c r="C2029">
        <v>23454.05</v>
      </c>
      <c r="D2029">
        <v>23440.45</v>
      </c>
      <c r="E2029">
        <v>23453.25</v>
      </c>
      <c r="F2029" s="2">
        <f t="shared" si="94"/>
        <v>13.599999999998545</v>
      </c>
      <c r="G2029" s="3">
        <f t="shared" si="95"/>
        <v>25.8412437713197</v>
      </c>
      <c r="H2029" t="str">
        <f t="shared" si="93"/>
        <v>2026-09</v>
      </c>
      <c r="I2029">
        <v>3</v>
      </c>
    </row>
    <row r="2030" spans="1:9" x14ac:dyDescent="0.25">
      <c r="A2030" t="s">
        <v>2035</v>
      </c>
      <c r="B2030">
        <v>23453</v>
      </c>
      <c r="C2030">
        <v>23458.6</v>
      </c>
      <c r="D2030">
        <v>23440.799999999999</v>
      </c>
      <c r="E2030">
        <v>23446.3</v>
      </c>
      <c r="F2030" s="2">
        <f t="shared" si="94"/>
        <v>17.799999999999272</v>
      </c>
      <c r="G2030" s="3">
        <f t="shared" si="95"/>
        <v>25.266869216225384</v>
      </c>
      <c r="H2030" t="str">
        <f t="shared" si="93"/>
        <v>2026-09</v>
      </c>
      <c r="I2030">
        <v>3</v>
      </c>
    </row>
    <row r="2031" spans="1:9" x14ac:dyDescent="0.25">
      <c r="A2031" t="s">
        <v>2036</v>
      </c>
      <c r="B2031">
        <v>23446.75</v>
      </c>
      <c r="C2031">
        <v>23453.75</v>
      </c>
      <c r="D2031">
        <v>23438.45</v>
      </c>
      <c r="E2031">
        <v>23439</v>
      </c>
      <c r="F2031" s="2">
        <f t="shared" si="94"/>
        <v>15.299999999999272</v>
      </c>
      <c r="G2031" s="3">
        <f t="shared" si="95"/>
        <v>24.55494998649495</v>
      </c>
      <c r="H2031" t="str">
        <f t="shared" si="93"/>
        <v>2026-09</v>
      </c>
      <c r="I2031">
        <v>3</v>
      </c>
    </row>
    <row r="2032" spans="1:9" x14ac:dyDescent="0.25">
      <c r="A2032" t="s">
        <v>2037</v>
      </c>
      <c r="B2032">
        <v>23439.4</v>
      </c>
      <c r="C2032">
        <v>23440.75</v>
      </c>
      <c r="D2032">
        <v>23417.599999999999</v>
      </c>
      <c r="E2032">
        <v>23431.05</v>
      </c>
      <c r="F2032" s="2">
        <f t="shared" si="94"/>
        <v>23.150000000001455</v>
      </c>
      <c r="G2032" s="3">
        <f t="shared" si="95"/>
        <v>24.45459641603113</v>
      </c>
      <c r="H2032" t="str">
        <f t="shared" si="93"/>
        <v>2026-09</v>
      </c>
      <c r="I2032">
        <v>3</v>
      </c>
    </row>
    <row r="2033" spans="1:9" x14ac:dyDescent="0.25">
      <c r="A2033" t="s">
        <v>2038</v>
      </c>
      <c r="B2033">
        <v>23432.1</v>
      </c>
      <c r="C2033">
        <v>23432.5</v>
      </c>
      <c r="D2033">
        <v>23422.15</v>
      </c>
      <c r="E2033">
        <v>23426.35</v>
      </c>
      <c r="F2033" s="2">
        <f t="shared" si="94"/>
        <v>10.349999999998545</v>
      </c>
      <c r="G2033" s="3">
        <f t="shared" si="95"/>
        <v>23.447125243457375</v>
      </c>
      <c r="H2033" t="str">
        <f t="shared" si="93"/>
        <v>2026-09</v>
      </c>
      <c r="I2033">
        <v>3</v>
      </c>
    </row>
    <row r="2034" spans="1:9" x14ac:dyDescent="0.25">
      <c r="A2034" t="s">
        <v>2039</v>
      </c>
      <c r="B2034">
        <v>23426.55</v>
      </c>
      <c r="C2034">
        <v>23451.9</v>
      </c>
      <c r="D2034">
        <v>23425.95</v>
      </c>
      <c r="E2034">
        <v>23451.75</v>
      </c>
      <c r="F2034" s="2">
        <f t="shared" si="94"/>
        <v>25.950000000000728</v>
      </c>
      <c r="G2034" s="3">
        <f t="shared" si="95"/>
        <v>23.6259020117819</v>
      </c>
      <c r="H2034" t="str">
        <f t="shared" si="93"/>
        <v>2026-09</v>
      </c>
      <c r="I2034">
        <v>3</v>
      </c>
    </row>
    <row r="2035" spans="1:9" x14ac:dyDescent="0.25">
      <c r="A2035" t="s">
        <v>2040</v>
      </c>
      <c r="B2035">
        <v>23451.65</v>
      </c>
      <c r="C2035">
        <v>23458.799999999999</v>
      </c>
      <c r="D2035">
        <v>23439.05</v>
      </c>
      <c r="E2035">
        <v>23457.55</v>
      </c>
      <c r="F2035" s="2">
        <f t="shared" si="94"/>
        <v>19.75</v>
      </c>
      <c r="G2035" s="3">
        <f t="shared" si="95"/>
        <v>23.349051868083194</v>
      </c>
      <c r="H2035" t="str">
        <f t="shared" si="93"/>
        <v>2026-09</v>
      </c>
      <c r="I2035">
        <v>3</v>
      </c>
    </row>
    <row r="2036" spans="1:9" x14ac:dyDescent="0.25">
      <c r="A2036" t="s">
        <v>2041</v>
      </c>
      <c r="B2036">
        <v>23459.3</v>
      </c>
      <c r="C2036">
        <v>23459.95</v>
      </c>
      <c r="D2036">
        <v>23426.799999999999</v>
      </c>
      <c r="E2036">
        <v>23427.55</v>
      </c>
      <c r="F2036" s="2">
        <f t="shared" si="94"/>
        <v>33.150000000001455</v>
      </c>
      <c r="G2036" s="3">
        <f t="shared" si="95"/>
        <v>24.049119591791641</v>
      </c>
      <c r="H2036" t="str">
        <f t="shared" si="93"/>
        <v>2026-09</v>
      </c>
      <c r="I2036">
        <v>3</v>
      </c>
    </row>
    <row r="2037" spans="1:9" x14ac:dyDescent="0.25">
      <c r="A2037" t="s">
        <v>2042</v>
      </c>
      <c r="B2037">
        <v>23427.599999999999</v>
      </c>
      <c r="C2037">
        <v>23435.4</v>
      </c>
      <c r="D2037">
        <v>23415.9</v>
      </c>
      <c r="E2037">
        <v>23422.45</v>
      </c>
      <c r="F2037" s="2">
        <f t="shared" si="94"/>
        <v>19.5</v>
      </c>
      <c r="G2037" s="3">
        <f t="shared" si="95"/>
        <v>23.724182478092239</v>
      </c>
      <c r="H2037" t="str">
        <f t="shared" si="93"/>
        <v>2026-09</v>
      </c>
      <c r="I2037">
        <v>3</v>
      </c>
    </row>
    <row r="2038" spans="1:9" x14ac:dyDescent="0.25">
      <c r="A2038" t="s">
        <v>2043</v>
      </c>
      <c r="B2038">
        <v>23422.55</v>
      </c>
      <c r="C2038">
        <v>23435.15</v>
      </c>
      <c r="D2038">
        <v>23408.400000000001</v>
      </c>
      <c r="E2038">
        <v>23432.15</v>
      </c>
      <c r="F2038" s="2">
        <f t="shared" si="94"/>
        <v>26.75</v>
      </c>
      <c r="G2038" s="3">
        <f t="shared" si="95"/>
        <v>23.940312301085648</v>
      </c>
      <c r="H2038" t="str">
        <f t="shared" si="93"/>
        <v>2026-09</v>
      </c>
      <c r="I203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5</v>
      </c>
      <c r="B1" s="1" t="s">
        <v>2044</v>
      </c>
      <c r="C1" s="1" t="s">
        <v>2045</v>
      </c>
      <c r="D1" s="1" t="s">
        <v>2046</v>
      </c>
    </row>
    <row r="2" spans="1:4" x14ac:dyDescent="0.25">
      <c r="A2" t="s">
        <v>2047</v>
      </c>
      <c r="B2" s="3">
        <f>AVERAGEIF(Nifty15m!H:H,A2,Nifty15m!F:F)</f>
        <v>43.999904761904773</v>
      </c>
      <c r="C2" s="3">
        <f>AVERAGEIFS(Nifty15m!F:F,Nifty15m!H:H,A2,Nifty15m!A:A,"&lt;&gt;*T09:15")</f>
        <v>39.359325396825412</v>
      </c>
      <c r="D2" s="3">
        <f>AVERAGEIF(Nifty15m!H:H,A2,Nifty15m!G:G)</f>
        <v>44.275981412425438</v>
      </c>
    </row>
    <row r="3" spans="1:4" x14ac:dyDescent="0.25">
      <c r="A3" t="s">
        <v>2048</v>
      </c>
      <c r="B3" s="3">
        <f>AVERAGEIF(Nifty15m!H:H,A3,Nifty15m!F:F)</f>
        <v>35.258260869565227</v>
      </c>
      <c r="C3" s="3">
        <f>AVERAGEIFS(Nifty15m!F:F,Nifty15m!H:H,A3,Nifty15m!A:A,"&lt;&gt;*T09:15")</f>
        <v>30.979257246376804</v>
      </c>
      <c r="D3" s="3">
        <f>AVERAGEIF(Nifty15m!H:H,A3,Nifty15m!G:G)</f>
        <v>35.714861005517612</v>
      </c>
    </row>
    <row r="4" spans="1:4" x14ac:dyDescent="0.25">
      <c r="A4" t="s">
        <v>2049</v>
      </c>
      <c r="B4" s="3">
        <f>AVERAGEIF(Nifty15m!H:H,A4,Nifty15m!F:F)</f>
        <v>27.719642857142887</v>
      </c>
      <c r="C4" s="3">
        <f>AVERAGEIFS(Nifty15m!F:F,Nifty15m!H:H,A4,Nifty15m!A:A,"&lt;&gt;*T09:15")</f>
        <v>24.505383022774339</v>
      </c>
      <c r="D4" s="3">
        <f>AVERAGEIF(Nifty15m!H:H,A4,Nifty15m!G:G)</f>
        <v>27.674623357788782</v>
      </c>
    </row>
    <row r="5" spans="1:4" x14ac:dyDescent="0.25">
      <c r="A5" t="s">
        <v>2050</v>
      </c>
      <c r="B5" s="3">
        <f>AVERAGEIF(Nifty15m!H:H,A5,Nifty15m!F:F)</f>
        <v>31.268359375000141</v>
      </c>
      <c r="C5" s="3">
        <f>AVERAGEIFS(Nifty15m!F:F,Nifty15m!H:H,A5,Nifty15m!A:A,"&lt;&gt;*T09:15")</f>
        <v>28.051902173913177</v>
      </c>
      <c r="D5" s="3">
        <f>AVERAGEIF(Nifty15m!H:H,A5,Nifty15m!G:G)</f>
        <v>31.462408723338402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1E11-B95E-4B4C-A89D-928754233BA4}">
  <dimension ref="B6:H12"/>
  <sheetViews>
    <sheetView topLeftCell="A13" zoomScale="110" zoomScaleNormal="110" workbookViewId="0">
      <selection activeCell="D18" sqref="D18:F25"/>
    </sheetView>
  </sheetViews>
  <sheetFormatPr defaultRowHeight="15" x14ac:dyDescent="0.25"/>
  <cols>
    <col min="2" max="2" width="20.7109375" bestFit="1" customWidth="1"/>
    <col min="3" max="3" width="21.28515625" customWidth="1"/>
    <col min="4" max="4" width="41.42578125" bestFit="1" customWidth="1"/>
    <col min="5" max="5" width="23.42578125" customWidth="1"/>
    <col min="6" max="6" width="22.140625" customWidth="1"/>
    <col min="7" max="7" width="23" customWidth="1"/>
    <col min="8" max="8" width="21.140625" customWidth="1"/>
  </cols>
  <sheetData>
    <row r="6" spans="2:8" ht="79.5" customHeight="1" x14ac:dyDescent="0.35">
      <c r="B6" s="7" t="s">
        <v>5</v>
      </c>
      <c r="C6" s="7" t="s">
        <v>2057</v>
      </c>
      <c r="D6" s="7" t="s">
        <v>2058</v>
      </c>
      <c r="E6" s="7" t="s">
        <v>2059</v>
      </c>
      <c r="F6" s="7" t="s">
        <v>2060</v>
      </c>
      <c r="G6" s="8" t="s">
        <v>2061</v>
      </c>
      <c r="H6" s="8" t="s">
        <v>2062</v>
      </c>
    </row>
    <row r="7" spans="2:8" ht="23.25" x14ac:dyDescent="0.35">
      <c r="B7" s="6" t="s">
        <v>2053</v>
      </c>
      <c r="C7" s="6">
        <v>24</v>
      </c>
      <c r="D7" s="6">
        <v>44</v>
      </c>
      <c r="E7" s="6">
        <v>22.3</v>
      </c>
      <c r="F7" s="6">
        <v>39.4</v>
      </c>
      <c r="G7" s="9">
        <v>24.1</v>
      </c>
      <c r="H7" s="9">
        <v>44.3</v>
      </c>
    </row>
    <row r="8" spans="2:8" ht="23.25" x14ac:dyDescent="0.35">
      <c r="B8" s="6" t="s">
        <v>2054</v>
      </c>
      <c r="C8" s="6">
        <v>19.600000000000001</v>
      </c>
      <c r="D8" s="6">
        <v>35.299999999999997</v>
      </c>
      <c r="E8" s="6">
        <v>18.100000000000001</v>
      </c>
      <c r="F8" s="6">
        <v>31</v>
      </c>
      <c r="G8" s="9">
        <v>19.7</v>
      </c>
      <c r="H8" s="9">
        <v>35.700000000000003</v>
      </c>
    </row>
    <row r="9" spans="2:8" ht="23.25" x14ac:dyDescent="0.35">
      <c r="B9" s="6" t="s">
        <v>2055</v>
      </c>
      <c r="C9" s="6">
        <v>15.8</v>
      </c>
      <c r="D9" s="6">
        <v>27.7</v>
      </c>
      <c r="E9" s="6">
        <v>14.6</v>
      </c>
      <c r="F9" s="6">
        <v>24.5</v>
      </c>
      <c r="G9" s="9">
        <v>15.7</v>
      </c>
      <c r="H9" s="9">
        <v>27.7</v>
      </c>
    </row>
    <row r="10" spans="2:8" ht="23.25" x14ac:dyDescent="0.35">
      <c r="B10" s="6" t="s">
        <v>2056</v>
      </c>
      <c r="C10" s="6">
        <v>17.3</v>
      </c>
      <c r="D10" s="6">
        <v>31.3</v>
      </c>
      <c r="E10" s="6">
        <v>16.100000000000001</v>
      </c>
      <c r="F10" s="6">
        <v>28.1</v>
      </c>
      <c r="G10" s="9">
        <v>17.399999999999999</v>
      </c>
      <c r="H10" s="9">
        <v>31.5</v>
      </c>
    </row>
    <row r="11" spans="2:8" ht="23.25" x14ac:dyDescent="0.35">
      <c r="D11" s="7"/>
      <c r="E11" s="7"/>
      <c r="F11" s="7"/>
      <c r="G11" s="7"/>
      <c r="H11" s="7"/>
    </row>
    <row r="12" spans="2:8" ht="22.5" x14ac:dyDescent="0.3">
      <c r="G12" s="9">
        <v>19</v>
      </c>
      <c r="H12" s="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Nifty15m</vt:lpstr>
      <vt:lpstr>Monthly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Deeps S</cp:lastModifiedBy>
  <dcterms:created xsi:type="dcterms:W3CDTF">2026-09-27T09:08:45Z</dcterms:created>
  <dcterms:modified xsi:type="dcterms:W3CDTF">2026-09-27T09:58:22Z</dcterms:modified>
</cp:coreProperties>
</file>